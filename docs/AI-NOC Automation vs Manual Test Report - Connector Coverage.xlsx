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xus" sheetId="2" state="visible" r:id="rId4"/>
    <sheet name="Catalyst" sheetId="3" state="visible" r:id="rId5"/>
    <sheet name="Zabbix" sheetId="4" state="visible" r:id="rId6"/>
    <sheet name="ONES-MCP" sheetId="5" state="visible" r:id="rId7"/>
    <sheet name="Automation view" sheetId="6" state="visible" r:id="rId8"/>
    <sheet name="Gaps to add" sheetId="7" state="visible" r:id="rId9"/>
  </sheets>
  <definedNames>
    <definedName function="false" hidden="true" localSheetId="2" name="_xlnm._FilterDatabase" vbProcedure="false">Catalyst!$A$1:$I$26</definedName>
    <definedName function="false" hidden="true" localSheetId="1" name="_xlnm._FilterDatabase" vbProcedure="false">Nexus!$A$1:$I$90</definedName>
    <definedName function="false" hidden="true" localSheetId="4" name="_xlnm._FilterDatabase" vbProcedure="false">'ONES-MCP'!$A$1:$I$65</definedName>
    <definedName function="false" hidden="true" localSheetId="3" name="_xlnm._FilterDatabase" vbProcedure="false">Zabbix!$A$1:$I$127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<sst xmlns="http://schemas.openxmlformats.org/spreadsheetml/2006/main" count="1972" uniqueCount="673">
  <si>
    <t xml:space="preserve">AI NOC automation (MCP-connector suite) vs NCP R2.0 Test Report - connector coverage</t>
  </si>
  <si>
    <t xml:space="preserve">Manual side: NCP R2.0 Test Report.xlsx (Dev's master, read only; file dated 2026-10-05), one sheet per connector. Automation side: the 20 prompts in data/mcp_prompts.xlsx (P01-P20) of the AI-NOC-Automation repo, each graded against the connector's own API. Built 2026-10-06.</t>
  </si>
  <si>
    <t xml:space="preserve">1. Manual testcases per connector, and how many the automation covers</t>
  </si>
  <si>
    <t xml:space="preserve">Connector</t>
  </si>
  <si>
    <t xml:space="preserve">Manual sheet</t>
  </si>
  <si>
    <t xml:space="preserve">Manual testcases</t>
  </si>
  <si>
    <t xml:space="preserve">Manual PASS</t>
  </si>
  <si>
    <t xml:space="preserve">Manual FAIL</t>
  </si>
  <si>
    <t xml:space="preserve">Covered</t>
  </si>
  <si>
    <t xml:space="preserve">Partly covered</t>
  </si>
  <si>
    <t xml:space="preserve">Gap - can automate</t>
  </si>
  <si>
    <t xml:space="preserve">Next phase</t>
  </si>
  <si>
    <t xml:space="preserve">Out of scope</t>
  </si>
  <si>
    <t xml:space="preserve">Prompt-level testcases</t>
  </si>
  <si>
    <t xml:space="preserve">Prompt-level covered (full or part)</t>
  </si>
  <si>
    <t xml:space="preserve">Nexus Dashboard (Local MCP)</t>
  </si>
  <si>
    <t xml:space="preserve">Nexus agent to support NetOps</t>
  </si>
  <si>
    <t xml:space="preserve">Catalyst Center (Local MCP)</t>
  </si>
  <si>
    <t xml:space="preserve">Local MCP center to Catalyst</t>
  </si>
  <si>
    <t xml:space="preserve">Zabbix</t>
  </si>
  <si>
    <t xml:space="preserve">Zabbix-DC</t>
  </si>
  <si>
    <t xml:space="preserve">ONES</t>
  </si>
  <si>
    <t xml:space="preserve">AI-NOC-ONES-MCP</t>
  </si>
  <si>
    <t xml:space="preserve">Total</t>
  </si>
  <si>
    <t xml:space="preserve">Prompt-level testcases = all testcases minus Next phase and Out of scope (UI, onboarding / container / API-level, security, logs, performance, write actions).</t>
  </si>
  <si>
    <t xml:space="preserve">2. The 20 automated prompts per connector - is there a matching manual testcase?</t>
  </si>
  <si>
    <t xml:space="preserve">Automated prompts</t>
  </si>
  <si>
    <t xml:space="preserve">With a manual testcase</t>
  </si>
  <si>
    <t xml:space="preserve">No manual testcase</t>
  </si>
  <si>
    <t xml:space="preserve">3. What stands out</t>
  </si>
  <si>
    <t xml:space="preserve">Catalyst</t>
  </si>
  <si>
    <t xml:space="preserve">The manual sheet has 25 testcases and none of them checks chat answers against Catalyst data - they are UI, onboarding, container and API checks. The 20 automated prompts are the only Catalyst data checks. Vishakh's live run found NCP missing a down interface (P14, GigabitEthernet1/0/3 on leaf01) in two chats, and showing only a sample of interface counters (P15) - neither is in the manual sheet (CLAUDE.md §3.10).</t>
  </si>
  <si>
    <t xml:space="preserve">Nexus</t>
  </si>
  <si>
    <t xml:space="preserve">The manual prompt cases match the automated prompts well (inventory, health, CPU / memory, interfaces, links). The manual sheet adds fabric, anomaly / advisory and cluster prompts that are not automated. Manual #70 '#tag list all switches' is FAIL; the automation smoke on 10.4.5.236 also got a wrong answer ('0 devices', P02, conversation 3012).</t>
  </si>
  <si>
    <t xml:space="preserve">Biggest manual set (126). The automation covers inventory, CPU / memory, temperature, PSU, health and interfaces. Not automated: problems, triggers, time windows and charts. Problems and triggers are the easiest to add - the suite already reads Zabbix triggers - and two of the three manual FAILs are there (#99, #101).</t>
  </si>
  <si>
    <t xml:space="preserve">The manual run was on a different ONES MCP connector than the automation (the sheet does not name it; Dev's notes list #ones-37-mcp -&gt; 10.20.0.37; automation uses #ONES-MCP -&gt; 10.4.4.181), so results are not directly comparable. 13 compliance rows belong to the next phase. Alerts cannot be automated yet: the ONES alert APIs fail on both hosts. Protocol, transceiver and service prompts are the main gaps.</t>
  </si>
  <si>
    <t xml:space="preserve">All</t>
  </si>
  <si>
    <t xml:space="preserve">Manual PASS is the tester's judgement; the automation compares each answer to the source by code. Project Chat is not automated yet (only Admin Chat with #tag).</t>
  </si>
  <si>
    <t xml:space="preserve">Coverage values</t>
  </si>
  <si>
    <t xml:space="preserve">An automated prompt checks the same thing against the connector's own data.</t>
  </si>
  <si>
    <t xml:space="preserve">Same topic, but the automated check is narrower or wider, or runs in a different chat.</t>
  </si>
  <si>
    <t xml:space="preserve">A prompt-level test we could add - see the 'Gaps to add' sheet.</t>
  </si>
  <si>
    <t xml:space="preserve">Planned in the AI NOC compliance / audit use cases, not this suite.</t>
  </si>
  <si>
    <t xml:space="preserve">UI (another engineer), onboarding / container / API-level, security, logs, performance, write actions - handled separately.</t>
  </si>
  <si>
    <t xml:space="preserve">No</t>
  </si>
  <si>
    <t xml:space="preserve">Category</t>
  </si>
  <si>
    <t xml:space="preserve">Title (manual testcase)</t>
  </si>
  <si>
    <t xml:space="preserve">Manual result</t>
  </si>
  <si>
    <t xml:space="preserve">Bug Id</t>
  </si>
  <si>
    <t xml:space="preserve">Coverage</t>
  </si>
  <si>
    <t xml:space="preserve">Automated prompt(s)</t>
  </si>
  <si>
    <t xml:space="preserve">Gap group</t>
  </si>
  <si>
    <t xml:space="preserve">Note</t>
  </si>
  <si>
    <t xml:space="preserve">UI</t>
  </si>
  <si>
    <t xml:space="preserve">Verify Nexus Dashboard provider displays both Local MCP and Remote MCP tabs</t>
  </si>
  <si>
    <t xml:space="preserve">PASS</t>
  </si>
  <si>
    <t xml:space="preserve">UI test - UI automation is handled by another engineer.</t>
  </si>
  <si>
    <t xml:space="preserve">Verify the Local MCP tab is accessible and selectable</t>
  </si>
  <si>
    <t xml:space="preserve">Configuration</t>
  </si>
  <si>
    <t xml:space="preserve">Verify a Nexus Local MCP connector can be created with valid host, credentials, optional MCP token and tag</t>
  </si>
  <si>
    <t xml:space="preserve">Connector onboarding / lifecycle - API-level, handled separately (not prompt validation).</t>
  </si>
  <si>
    <t xml:space="preserve">Verify connector status changes to Running after successful creation</t>
  </si>
  <si>
    <t xml:space="preserve">Verify connector type is displayed as MCP after successful onboarding</t>
  </si>
  <si>
    <t xml:space="preserve">Verify the configured connector tag is displayed correctly</t>
  </si>
  <si>
    <t xml:space="preserve">Verify mandatory field validation is displayed when required fields are left blank</t>
  </si>
  <si>
    <t xml:space="preserve">Verify invalid Nexus credentials prevent connector creation</t>
  </si>
  <si>
    <t xml:space="preserve">Verify connector creation fails gracefully when Nexus Dashboard is unreachable</t>
  </si>
  <si>
    <t xml:space="preserve">Container</t>
  </si>
  <si>
    <t xml:space="preserve">Verify the ncp-nexus-dashboard-mcp LocalMCP container starts successfully after connector creation</t>
  </si>
  <si>
    <t xml:space="preserve">MCP container lifecycle - platform / API-level, handled separately.</t>
  </si>
  <si>
    <t xml:space="preserve">Verify the LocalMCP entrypoint is used instead of the collector image</t>
  </si>
  <si>
    <t xml:space="preserve">Project</t>
  </si>
  <si>
    <t xml:space="preserve">Verify the Nexus LocalMCP connector can be enabled for a project</t>
  </si>
  <si>
    <t xml:space="preserve">Project scoping - API-level, handled separately.</t>
  </si>
  <si>
    <t xml:space="preserve">Verify a new project chat can access the enabled Nexus LocalMCP connector</t>
  </si>
  <si>
    <t xml:space="preserve">Project Chat</t>
  </si>
  <si>
    <t xml:space="preserve">Project Chat is not automated yet (CLAUDE.md §11 q2, q3).</t>
  </si>
  <si>
    <t xml:space="preserve">Routing</t>
  </si>
  <si>
    <t xml:space="preserve">Verify infrastructure queries are routed through the query_nexus tool</t>
  </si>
  <si>
    <t xml:space="preserve">Tool routing (which tool ran) - needs the agent trace; routing checks are handled separately.</t>
  </si>
  <si>
    <t xml:space="preserve">Verify child tools are invoked correctly for CPU, memory, interface inventory and link details</t>
  </si>
  <si>
    <t xml:space="preserve">Verify chat does not request set_mcp_connection during normal operations</t>
  </si>
  <si>
    <t xml:space="preserve">No credential / MCP-connection request</t>
  </si>
  <si>
    <t xml:space="preserve">Can be added as a check on every answer.</t>
  </si>
  <si>
    <t xml:space="preserve">Verify users are not prompted for Nexus username, password or token during chat queries</t>
  </si>
  <si>
    <t xml:space="preserve">Verify 'List all switches' returns live Nexus switch inventory</t>
  </si>
  <si>
    <t xml:space="preserve">P01</t>
  </si>
  <si>
    <t xml:space="preserve">Same check runs in Admin Chat with #tag; Project Chat is not automated yet (CLAUDE.md §11 q2, q3).</t>
  </si>
  <si>
    <t xml:space="preserve">Verify unhealthy switches are identified correctly from live Nexus data</t>
  </si>
  <si>
    <t xml:space="preserve">P06</t>
  </si>
  <si>
    <t xml:space="preserve">Same check runs in Admin Chat with #tag; Project Chat is not automated yet (CLAUDE.md §11 q2, q3). Health = Nexus status in the suite; the manual case expects anomaly / advisory info.</t>
  </si>
  <si>
    <t xml:space="preserve">Verify fabric summary is returned for a selected fabric</t>
  </si>
  <si>
    <t xml:space="preserve">Nexus fabric prompts</t>
  </si>
  <si>
    <t xml:space="preserve">Verify switches belonging to a selected fabric are listed correctly</t>
  </si>
  <si>
    <t xml:space="preserve">Verify CPU and memory status is returned for every switch</t>
  </si>
  <si>
    <t xml:space="preserve">P07, P08</t>
  </si>
  <si>
    <t xml:space="preserve">Verify CPU and memory information is returned for a specific switch</t>
  </si>
  <si>
    <t xml:space="preserve">P09</t>
  </si>
  <si>
    <t xml:space="preserve">Verify switch-by-switch infrastructure summary is generated successfully</t>
  </si>
  <si>
    <t xml:space="preserve">P19</t>
  </si>
  <si>
    <t xml:space="preserve">Verify interface inventory is returned for a selected switch</t>
  </si>
  <si>
    <t xml:space="preserve">P13</t>
  </si>
  <si>
    <t xml:space="preserve">Verify operationally down interfaces are identified correctly</t>
  </si>
  <si>
    <t xml:space="preserve">P14</t>
  </si>
  <si>
    <t xml:space="preserve">Verify interface counters are retrieved successfully for the selected fabric</t>
  </si>
  <si>
    <t xml:space="preserve">P15</t>
  </si>
  <si>
    <t xml:space="preserve">Same check runs in Admin Chat with #tag; Project Chat is not automated yet (CLAUDE.md §11 q2, q3). Manual asks per fabric; automation asks per switch.</t>
  </si>
  <si>
    <t xml:space="preserve">Verify link details are returned for the selected fabric</t>
  </si>
  <si>
    <t xml:space="preserve">P16</t>
  </si>
  <si>
    <t xml:space="preserve">Verify anomaly summary grouped by severity is displayed correctly</t>
  </si>
  <si>
    <t xml:space="preserve">Nexus anomalies / advisories</t>
  </si>
  <si>
    <t xml:space="preserve">Verify advisory summary is generated using live Nexus data</t>
  </si>
  <si>
    <t xml:space="preserve">Admin Chat</t>
  </si>
  <si>
    <t xml:space="preserve">Verify Admin Chat successfully accesses the connector using the configured connector tag</t>
  </si>
  <si>
    <t xml:space="preserve">P01-P20</t>
  </si>
  <si>
    <t xml:space="preserve">Every automated prompt is sent in Admin Chat as '#tag &lt;prompt&gt;'.</t>
  </si>
  <si>
    <t xml:space="preserve">Verify inventory queries work correctly using #connector-tag</t>
  </si>
  <si>
    <t xml:space="preserve">Verify CPU and memory queries work correctly using #connector-tag</t>
  </si>
  <si>
    <t xml:space="preserve">Verify interface inventory queries work correctly using #connector-tag</t>
  </si>
  <si>
    <t xml:space="preserve">Verify link detail queries work correctly using #connector-tag</t>
  </si>
  <si>
    <t xml:space="preserve">Verify an incorrect connector tag does not access the Nexus LocalMCP connector</t>
  </si>
  <si>
    <t xml:space="preserve">Wrong-tag negative prompt</t>
  </si>
  <si>
    <t xml:space="preserve">Negative tag case.</t>
  </si>
  <si>
    <t xml:space="preserve">Verify Admin Chat without a connector tag follows the default routing behavior</t>
  </si>
  <si>
    <t xml:space="preserve">Control case for default routing (the manual sheet itself says it is not pass / fail).</t>
  </si>
  <si>
    <t xml:space="preserve">Inventory</t>
  </si>
  <si>
    <t xml:space="preserve">Verify hostname, model, serial number, role and software version are returned for Nexus switches</t>
  </si>
  <si>
    <t xml:space="preserve">P03</t>
  </si>
  <si>
    <t xml:space="preserve">Role is not checked.</t>
  </si>
  <si>
    <t xml:space="preserve">Verify switch count and roles are returned correctly for a fabric</t>
  </si>
  <si>
    <t xml:space="preserve">P02</t>
  </si>
  <si>
    <t xml:space="preserve">Count is checked; per fabric and roles are not.</t>
  </si>
  <si>
    <t xml:space="preserve">Health</t>
  </si>
  <si>
    <t xml:space="preserve">Verify unhealthy switches and associated anomalies are displayed correctly</t>
  </si>
  <si>
    <t xml:space="preserve">Anomaly detail is not checked.</t>
  </si>
  <si>
    <t xml:space="preserve">Verify anomaly grouping by type is generated correctly</t>
  </si>
  <si>
    <t xml:space="preserve">Verify top anomalous nodes are identified correctly</t>
  </si>
  <si>
    <t xml:space="preserve">Verify anomaly level and advisory level comparison is generated correctly</t>
  </si>
  <si>
    <t xml:space="preserve">Compute</t>
  </si>
  <si>
    <t xml:space="preserve">Verify the switch with the highest CPU utilization is identified correctly</t>
  </si>
  <si>
    <t xml:space="preserve">P10</t>
  </si>
  <si>
    <t xml:space="preserve">Interfaces</t>
  </si>
  <si>
    <t xml:space="preserve">Verify interface counters are displayed for a selected switch</t>
  </si>
  <si>
    <t xml:space="preserve">Counter values are not compared (they move); at least 90% of interfaces must be shown.</t>
  </si>
  <si>
    <t xml:space="preserve">Verify leaf-to-spine links are displayed correctly</t>
  </si>
  <si>
    <t xml:space="preserve">Leaf-to-spine filter is not checked.</t>
  </si>
  <si>
    <t xml:space="preserve">Verify fabric interface overview is generated successfully</t>
  </si>
  <si>
    <t xml:space="preserve">Verify switch interface overview is generated successfully</t>
  </si>
  <si>
    <t xml:space="preserve">P13, P14</t>
  </si>
  <si>
    <t xml:space="preserve">Overview not asked; interface list and down interfaces are.</t>
  </si>
  <si>
    <t xml:space="preserve">Cluster</t>
  </si>
  <si>
    <t xml:space="preserve">Verify Nexus Dashboard cluster nodes are listed successfully</t>
  </si>
  <si>
    <t xml:space="preserve">Nexus cluster prompts</t>
  </si>
  <si>
    <t xml:space="preserve">Verify Nexus Dashboard cluster resource summary is displayed successfully</t>
  </si>
  <si>
    <t xml:space="preserve">Negative</t>
  </si>
  <si>
    <t xml:space="preserve">Verify LocalMCP does not start the collector image when Local MCP mode is selected</t>
  </si>
  <si>
    <t xml:space="preserve">Verify metrics-only responses are not returned for live inventory queries</t>
  </si>
  <si>
    <t xml:space="preserve">Truth is read live from Nexus Dashboard, so a stale metrics-DB answer would not match; the tool path itself is not checked.</t>
  </si>
  <si>
    <t xml:space="preserve">Verify chat never requests manual MCP authentication after connector setup</t>
  </si>
  <si>
    <t xml:space="preserve">Verify per-switch CPU and memory values are returned instead of cluster averages</t>
  </si>
  <si>
    <t xml:space="preserve">Per-device values are compared, so cluster averages would fail.</t>
  </si>
  <si>
    <t xml:space="preserve">Logging</t>
  </si>
  <si>
    <t xml:space="preserve">Verify tool invocation logs contain query_nexus for supported Nexus queries</t>
  </si>
  <si>
    <t xml:space="preserve">Log check - handled separately (API-level).</t>
  </si>
  <si>
    <t xml:space="preserve">Verify connector startup, tool execution and failures are logged appropriately</t>
  </si>
  <si>
    <t xml:space="preserve">Prompt Validation</t>
  </si>
  <si>
    <t xml:space="preserve">Verify the prompt 'list all switches' returns the live Nexus switch inventory</t>
  </si>
  <si>
    <t xml:space="preserve">Wording differs: 'List all devices in my network.'</t>
  </si>
  <si>
    <t xml:space="preserve">Verify the prompt 'Which switches look unhealthy?' returns switches with anomaly/advisory information</t>
  </si>
  <si>
    <t xml:space="preserve">Health = Nexus status in the suite; the manual case expects anomaly / advisory info.</t>
  </si>
  <si>
    <t xml:space="preserve">Verify the prompt 'Show fabric summary for &lt;FABRIC&gt;' returns the fabric-level summary</t>
  </si>
  <si>
    <t xml:space="preserve">Verify the prompt 'List switches in fabric &lt;FABRIC&gt;' returns only switches belonging to the specified fabric</t>
  </si>
  <si>
    <t xml:space="preserve">Verify the prompt 'Show CPU and memory status for each switch' returns per-switch CPU and memory utilization</t>
  </si>
  <si>
    <t xml:space="preserve">Verify the prompt 'Show CPU and memory for switch &lt;SWITCH_SPINE&gt;' returns CPU and memory details for the selected switch</t>
  </si>
  <si>
    <t xml:space="preserve">Verify the prompt 'Give me a switch-by-switch summary' returns identity, health and compute information for every switch</t>
  </si>
  <si>
    <t xml:space="preserve">Coverage and unhealthy devices are checked; identity and compute per switch are not.</t>
  </si>
  <si>
    <t xml:space="preserve">Verify the prompt 'Show interface inventory for switch &lt;SWITCH_LEAF&gt;' returns the interface inventory of the selected switch</t>
  </si>
  <si>
    <t xml:space="preserve">Verify the prompt 'Which interfaces are oper-down on &lt;SWITCH_LEAF&gt;?' returns only operationally down interfaces</t>
  </si>
  <si>
    <t xml:space="preserve">Verify the prompt 'Show interface counters for fabric &lt;FABRIC&gt;' returns interface counter details for the selected fabric</t>
  </si>
  <si>
    <t xml:space="preserve">Manual asks per fabric; automation asks per switch.</t>
  </si>
  <si>
    <t xml:space="preserve">Verify the prompt 'Show link details for fabric &lt;FABRIC&gt;' returns fabric link information</t>
  </si>
  <si>
    <t xml:space="preserve">Automation asks network-wide, manual per fabric.</t>
  </si>
  <si>
    <t xml:space="preserve">Verify the prompt 'From live Nexus Dashboard, give anomaly summary by severity' returns anomaly details grouped by severity</t>
  </si>
  <si>
    <t xml:space="preserve">Verify the prompt 'From live Nexus data, show advisories summary' returns advisory information from Nexus Dashboard</t>
  </si>
  <si>
    <t xml:space="preserve">Verify the Admin Chat prompt '#&lt;CONNECTOR_TAG&gt; list all switches' returns switch inventory using the connector tag</t>
  </si>
  <si>
    <t xml:space="preserve">FAIL</t>
  </si>
  <si>
    <t xml:space="preserve">Manual result FAIL. Automation smoke on 10.4.5.236 (P02, conv 3012) also got a wrong answer: '0 devices' (CLAUDE.md §3.10, Vishakh, 2026-10-06).</t>
  </si>
  <si>
    <t xml:space="preserve">Verify the Admin Chat prompt '#&lt;CONNECTOR_TAG&gt; Show CPU and memory status for each switch' returns per-switch CPU and memory information</t>
  </si>
  <si>
    <t xml:space="preserve">Verify the Admin Chat prompt '#&lt;CONNECTOR_TAG&gt; Show interface inventory for switch &lt;SWITCH_LEAF&gt;' returns interface inventory using the connector tag</t>
  </si>
  <si>
    <t xml:space="preserve">Verify the Admin Chat prompt '#&lt;CONNECTOR_TAG&gt; Show link details for fabric &lt;FABRIC&gt;' returns link details using the connector tag</t>
  </si>
  <si>
    <t xml:space="preserve">Verify the Admin Chat prompt '#wrong-tag list all switches' does not invoke the configured Nexus LocalMCP connector</t>
  </si>
  <si>
    <t xml:space="preserve">Verify the Admin Chat prompt 'list all switches' without a connector tag follows the default routing behavior</t>
  </si>
  <si>
    <t xml:space="preserve">Verify the prompt 'List all Nexus switches with hostname, model, serial, role, and software version' returns complete switch inventory details</t>
  </si>
  <si>
    <t xml:space="preserve">Verify the prompt 'How many switches are in fabric &lt;FABRIC&gt; and what are their roles?' returns the switch count and roles</t>
  </si>
  <si>
    <t xml:space="preserve">Verify the prompt 'Which switches in fabric &lt;FABRIC&gt; look unhealthy, and what is each anomaly level?' returns unhealthy switches with their anomaly levels</t>
  </si>
  <si>
    <t xml:space="preserve">Anomaly level is not checked.</t>
  </si>
  <si>
    <t xml:space="preserve">Verify the prompt 'Group anomalies by type for fabric &lt;FABRIC&gt;' groups anomalies by type correctly</t>
  </si>
  <si>
    <t xml:space="preserve">Verify the prompt 'Show top anomalous nodes' returns the most anomalous switches</t>
  </si>
  <si>
    <t xml:space="preserve">Verify the prompt 'Compare anomaly level and advisory level for every switch' compares anomaly and advisory information correctly</t>
  </si>
  <si>
    <t xml:space="preserve">Verify the prompt 'Which switch currently has the highest CPU?' identifies the switch with the highest CPU utilization</t>
  </si>
  <si>
    <t xml:space="preserve">Verify the prompt 'Show fabric storage or disk summary if available' returns storage or disk information when supported</t>
  </si>
  <si>
    <t xml:space="preserve">May be unsupported on this ND (then NA if NCP says so).</t>
  </si>
  <si>
    <t xml:space="preserve">Verify the prompt 'Show interface counters for switch &lt;SWITCH_LEAF&gt;' returns interface counters for the selected switch</t>
  </si>
  <si>
    <t xml:space="preserve">Counter values are not compared (they move).</t>
  </si>
  <si>
    <t xml:space="preserve">Verify the prompt 'Show leaf-to-spine links in fabric &lt;FABRIC&gt;' returns only leaf-to-spine links</t>
  </si>
  <si>
    <t xml:space="preserve">Verify the prompt 'Show fabric interfaces overview for &lt;FABRIC&gt;' returns the fabric-wide interface overview</t>
  </si>
  <si>
    <t xml:space="preserve">Verify the prompt 'Show switch interfaces overview for &lt;SWITCH_LEAF&gt; in fabric &lt;FABRIC&gt;' returns interface overview for the selected switch</t>
  </si>
  <si>
    <t xml:space="preserve">Verify the prompt 'List Nexus Dashboard cluster nodes' returns all cluster nodes</t>
  </si>
  <si>
    <t xml:space="preserve">Verify the prompt 'Show system resources summary for the Nexus Dashboard cluster' returns the cluster resource summary</t>
  </si>
  <si>
    <t xml:space="preserve">UI - Connector Dialog</t>
  </si>
  <si>
    <t xml:space="preserve">Verify switching between tabs shows the correct field set per mode without carrying stale values across modes</t>
  </si>
  <si>
    <t xml:space="preserve">UI - Form Validation</t>
  </si>
  <si>
    <t xml:space="preserve">Verify the Connect button stays disabled until Name, Catalyst URI and the selected credential fields are populated</t>
  </si>
  <si>
    <t xml:space="preserve">Verify the Catalyst URI field accepts a valid https URL and flags malformed input</t>
  </si>
  <si>
    <t xml:space="preserve">Verify a duplicate connector name is rejected, matching the "use a new connector name" guidance for Local MCP mode</t>
  </si>
  <si>
    <t xml:space="preserve">UI - Authentication Method</t>
  </si>
  <si>
    <t xml:space="preserve">Verify Auth Token is offered as an authentication method and shows a single Auth Token field</t>
  </si>
  <si>
    <t xml:space="preserve">Verify selecting Username &amp; Password swaps to User and Password fields with a masked password and a show/hide toggle</t>
  </si>
  <si>
    <t xml:space="preserve">Verify switching the authentication method clears the secret entered under the previous method</t>
  </si>
  <si>
    <t xml:space="preserve">https://aviznetworks.atlassian.net/browse/NCP-3762</t>
  </si>
  <si>
    <t xml:space="preserve">Onboarding - Local MCP Mode</t>
  </si>
  <si>
    <t xml:space="preserve">Verify Catalyst Center onboards successfully in Local MCP mode using username and password (recorded happy path)</t>
  </si>
  <si>
    <t xml:space="preserve">Connector Lifecycle</t>
  </si>
  <si>
    <t xml:space="preserve">Verify connector create, edit and delete for the Catalyst Center Local MCP connector are recorded in the Activity Log</t>
  </si>
  <si>
    <t xml:space="preserve">Activity Log for connector create / edit / delete - API-level, handled separately.</t>
  </si>
  <si>
    <t xml:space="preserve">Verify the success toast and dialog close behaviour, and that the connector list refreshes without a manual reload</t>
  </si>
  <si>
    <t xml:space="preserve">Connector List &amp; Status</t>
  </si>
  <si>
    <t xml:space="preserve">Verify the new Catalyst Center Local MCP row renders the correct Provider Type, Type, Status, Description and timestamps</t>
  </si>
  <si>
    <t xml:space="preserve">Verify the Local MCP row exposes the same row actions as the other MCP connectors (view / edit / delete)</t>
  </si>
  <si>
    <t xml:space="preserve">MCP Container Lifecycle</t>
  </si>
  <si>
    <t xml:space="preserve">Verify a container named ncp-catalyst-center-mcp-* is started on successful Local MCP onboarding</t>
  </si>
  <si>
    <t xml:space="preserve">Verify the MCP container receives the Catalyst Center host and credentials from connector config rather than a hardcoded value</t>
  </si>
  <si>
    <t xml:space="preserve">Verify the MCP container recovers after a restart and the connector Status returns to Running</t>
  </si>
  <si>
    <t xml:space="preserve">Verify deleting the Local MCP connector stops and removes its MCP container</t>
  </si>
  <si>
    <t xml:space="preserve">SSE Endpoint (/mcp/sse:8001)</t>
  </si>
  <si>
    <t xml:space="preserve">Verify an MCP client can establish a session against the Catalyst Center MCP server and list its tools</t>
  </si>
  <si>
    <t xml:space="preserve">Direct MCP client session / tool list - API-level, not through chat.</t>
  </si>
  <si>
    <t xml:space="preserve">Verify a Catalyst Center read tool executes through the MCP server and returns real data from the configured CatC</t>
  </si>
  <si>
    <t xml:space="preserve">Direct MCP tool call - API-level. (The 20 automated prompts use the same read tools through chat and check the answers against Catalyst Center's own API.)</t>
  </si>
  <si>
    <t xml:space="preserve">ncp-api Dual-Mode Resolution</t>
  </si>
  <si>
    <t xml:space="preserve">Verify ncp-api resolves a LocalMCP-mode Catalyst Center connector to the container SSE endpoint on :8001 /mcp/sse</t>
  </si>
  <si>
    <t xml:space="preserve">ncp-api connector resolution - API-level, handled separately.</t>
  </si>
  <si>
    <t xml:space="preserve">Verify ncp-api still resolves an API-mode Catalyst Center connector to the existing metrics/collector path</t>
  </si>
  <si>
    <t xml:space="preserve">Verify an API-mode and a LocalMCP-mode connector can coexist for the same Catalyst Center host without interference</t>
  </si>
  <si>
    <t xml:space="preserve">Credential Handling &amp; Security</t>
  </si>
  <si>
    <t xml:space="preserve">Verify Catalyst Center credentials are never returned by the connector API or written to logs in clear text</t>
  </si>
  <si>
    <t xml:space="preserve">Security check - handled separately (API-level).</t>
  </si>
  <si>
    <t xml:space="preserve">Negative &amp; Error Handling</t>
  </si>
  <si>
    <t xml:space="preserve">Verify wrong Catalyst Center credentials produce a clear authentication failure and leave no half-created connector</t>
  </si>
  <si>
    <t xml:space="preserve">Verify an unreachable Catalyst URI produces a clear connectivity error rather than a falsely Running connector</t>
  </si>
  <si>
    <t xml:space="preserve">Zero-Impact / Regression</t>
  </si>
  <si>
    <t xml:space="preserve">Verify the pre-existing Catalyst Center API connector is completely unaffected by Local MCP onboarding</t>
  </si>
  <si>
    <t xml:space="preserve">API-mode connector (metrics-DB path) - Automation 2 DC-INVENTORY covers Catalyst on that path.</t>
  </si>
  <si>
    <t xml:space="preserve">Zabbix Agent</t>
  </si>
  <si>
    <t xml:space="preserve">Zabbix Agent routes infrastructure queries through query_zabbix</t>
  </si>
  <si>
    <t xml:space="preserve">Only supported read-only tools are used for query execution</t>
  </si>
  <si>
    <t xml:space="preserve">Agent never performs write operations on the Zabbix server</t>
  </si>
  <si>
    <t xml:space="preserve">List all monitored hosts from Zabbix inventory</t>
  </si>
  <si>
    <t xml:space="preserve">Retrieve host model information</t>
  </si>
  <si>
    <t xml:space="preserve">P03, P05</t>
  </si>
  <si>
    <t xml:space="preserve">Retrieve serial numbers of monitored devices</t>
  </si>
  <si>
    <t xml:space="preserve">Retrieve operating system version for monitored devices</t>
  </si>
  <si>
    <t xml:space="preserve">P03, P04</t>
  </si>
  <si>
    <t xml:space="preserve">Retrieve management IP addresses of monitored devices</t>
  </si>
  <si>
    <t xml:space="preserve">Retrieve hardware vendor information</t>
  </si>
  <si>
    <t xml:space="preserve">Zabbix vendors</t>
  </si>
  <si>
    <t xml:space="preserve">Retrieve software version of monitored devices</t>
  </si>
  <si>
    <t xml:space="preserve">Metrics</t>
  </si>
  <si>
    <t xml:space="preserve">Current CPU utilization for a selected device</t>
  </si>
  <si>
    <t xml:space="preserve">Current memory utilization for a selected device</t>
  </si>
  <si>
    <t xml:space="preserve">Current temperature metrics</t>
  </si>
  <si>
    <t xml:space="preserve">P18</t>
  </si>
  <si>
    <t xml:space="preserve">Current fan speed metrics</t>
  </si>
  <si>
    <t xml:space="preserve">P17</t>
  </si>
  <si>
    <t xml:space="preserve">Fan status is checked; fan speed is not.</t>
  </si>
  <si>
    <t xml:space="preserve">PSU status metrics</t>
  </si>
  <si>
    <t xml:space="preserve">Uptime metrics</t>
  </si>
  <si>
    <t xml:space="preserve">Zabbix extra items</t>
  </si>
  <si>
    <t xml:space="preserve">Disk utilization metrics</t>
  </si>
  <si>
    <t xml:space="preserve">Min, average, max and latest values for a time window</t>
  </si>
  <si>
    <t xml:space="preserve">Time-window prompts</t>
  </si>
  <si>
    <t xml:space="preserve">Complete health snapshot for a selected host</t>
  </si>
  <si>
    <t xml:space="preserve">Fleet summary is checked; a single-host snapshot is not asked.</t>
  </si>
  <si>
    <t xml:space="preserve">Health snapshot includes metrics, sensors and active problems</t>
  </si>
  <si>
    <t xml:space="preserve">Problems and sensor detail are not checked.</t>
  </si>
  <si>
    <t xml:space="preserve">Unhealthy devices are identified correctly</t>
  </si>
  <si>
    <t xml:space="preserve">Overall fleet health summary</t>
  </si>
  <si>
    <t xml:space="preserve">Problems</t>
  </si>
  <si>
    <t xml:space="preserve">Active problems are displayed correctly</t>
  </si>
  <si>
    <t xml:space="preserve">Zabbix problems</t>
  </si>
  <si>
    <t xml:space="preserve">Problems grouped by severity</t>
  </si>
  <si>
    <t xml:space="preserve">Problems filtered by host</t>
  </si>
  <si>
    <t xml:space="preserve">Problems filtered by time window</t>
  </si>
  <si>
    <t xml:space="preserve">Acknowledged and unacknowledged problems</t>
  </si>
  <si>
    <t xml:space="preserve">Resolved problems within a selected time window</t>
  </si>
  <si>
    <t xml:space="preserve">Triggers</t>
  </si>
  <si>
    <t xml:space="preserve">Configured triggers for a selected host</t>
  </si>
  <si>
    <t xml:space="preserve">Zabbix triggers</t>
  </si>
  <si>
    <t xml:space="preserve">Trigger definitions displayed correctly</t>
  </si>
  <si>
    <t xml:space="preserve">Disabled triggers are identified correctly</t>
  </si>
  <si>
    <t xml:space="preserve">Interface inventory for a selected host</t>
  </si>
  <si>
    <t xml:space="preserve">Operational status of interfaces</t>
  </si>
  <si>
    <t xml:space="preserve">Administrative status of interfaces</t>
  </si>
  <si>
    <t xml:space="preserve">Interface speed and duplex information</t>
  </si>
  <si>
    <t xml:space="preserve">Interface error counters</t>
  </si>
  <si>
    <t xml:space="preserve">Counters must be shown; values are not compared.</t>
  </si>
  <si>
    <t xml:space="preserve">Interface discard counters</t>
  </si>
  <si>
    <t xml:space="preserve">Per-port traffic utilization</t>
  </si>
  <si>
    <t xml:space="preserve">Traffic values move - needs a time-pinned compare.</t>
  </si>
  <si>
    <t xml:space="preserve">Fleet Analytics</t>
  </si>
  <si>
    <t xml:space="preserve">Rank hosts by CPU utilization across the fleet</t>
  </si>
  <si>
    <t xml:space="preserve">P07, P10</t>
  </si>
  <si>
    <t xml:space="preserve">Each host's value and the top host are checked; the full ranking order is not.</t>
  </si>
  <si>
    <t xml:space="preserve">Rank hosts by memory utilization across the fleet</t>
  </si>
  <si>
    <t xml:space="preserve">P08</t>
  </si>
  <si>
    <t xml:space="preserve">Each host's value is checked; the ranking order is not.</t>
  </si>
  <si>
    <t xml:space="preserve">Hottest devices across the fleet</t>
  </si>
  <si>
    <t xml:space="preserve">Each device's temperature is checked; 'hottest' is not asked.</t>
  </si>
  <si>
    <t xml:space="preserve">Hosts exceeding configured memory thresholds</t>
  </si>
  <si>
    <t xml:space="preserve">P12</t>
  </si>
  <si>
    <t xml:space="preserve">Automation threshold is 75%.</t>
  </si>
  <si>
    <t xml:space="preserve">Fleet-wide uptime summary</t>
  </si>
  <si>
    <t xml:space="preserve">Fleet-wide power supply health summary</t>
  </si>
  <si>
    <t xml:space="preserve">Charts</t>
  </si>
  <si>
    <t xml:space="preserve">CPU utilization chart generation</t>
  </si>
  <si>
    <t xml:space="preserve">Metric charts</t>
  </si>
  <si>
    <t xml:space="preserve">Only chart prompt in the suite is P20 (devices by OS version).</t>
  </si>
  <si>
    <t xml:space="preserve">Memory utilization chart generation</t>
  </si>
  <si>
    <t xml:space="preserve">Temperature trend chart generation</t>
  </si>
  <si>
    <t xml:space="preserve">Fan speed chart generation</t>
  </si>
  <si>
    <t xml:space="preserve">Interface error chart generation</t>
  </si>
  <si>
    <t xml:space="preserve">Problem timeline chart generation</t>
  </si>
  <si>
    <t xml:space="preserve">Problem severity pie chart generation</t>
  </si>
  <si>
    <t xml:space="preserve">Fleet ranking chart generation</t>
  </si>
  <si>
    <t xml:space="preserve">Time Range</t>
  </si>
  <si>
    <t xml:space="preserve">Metric queries support Last 5 Minutes</t>
  </si>
  <si>
    <t xml:space="preserve">Metric queries support Last 15 Minutes</t>
  </si>
  <si>
    <t xml:space="preserve">Metric queries support Last 30 Minutes</t>
  </si>
  <si>
    <t xml:space="preserve">Metric queries support Last 1 Hour</t>
  </si>
  <si>
    <t xml:space="preserve">Metric queries support Last 24 Hours</t>
  </si>
  <si>
    <t xml:space="preserve">Metric queries support Last 7 Days</t>
  </si>
  <si>
    <t xml:space="preserve">Metric queries support Last 30 Days</t>
  </si>
  <si>
    <t xml:space="preserve">Previous Week, Previous Month and Previous Year windows</t>
  </si>
  <si>
    <t xml:space="preserve">Natural language time expressions are interpreted correctly</t>
  </si>
  <si>
    <t xml:space="preserve">Visualization</t>
  </si>
  <si>
    <t xml:space="preserve">Charts render without exposing raw metric data</t>
  </si>
  <si>
    <t xml:space="preserve">Tables render correctly for inventory and metrics</t>
  </si>
  <si>
    <t xml:space="preserve">UI test - UI automation is handled by another engineer. (The suite does read table widgets, so a missing table still fails.)</t>
  </si>
  <si>
    <t xml:space="preserve">Chart rendering for historical metrics</t>
  </si>
  <si>
    <t xml:space="preserve">Security</t>
  </si>
  <si>
    <t xml:space="preserve">Users cannot invoke write operations through the Zabbix Agent</t>
  </si>
  <si>
    <t xml:space="preserve">Host deletion operations are not exposed to users</t>
  </si>
  <si>
    <t xml:space="preserve">History deletion operations are not exposed to users</t>
  </si>
  <si>
    <t xml:space="preserve">Only curated read-only tools are available for execution</t>
  </si>
  <si>
    <t xml:space="preserve">Performance</t>
  </si>
  <si>
    <t xml:space="preserve">Inventory queries complete within acceptable response time</t>
  </si>
  <si>
    <t xml:space="preserve">Performance - not in this suite (it records seconds per prompt, no limit is checked).</t>
  </si>
  <si>
    <t xml:space="preserve">Metric queries complete within acceptable response time</t>
  </si>
  <si>
    <t xml:space="preserve">Fleet-wide analytics queries complete successfully</t>
  </si>
  <si>
    <t xml:space="preserve">Chart generation completes for large datasets</t>
  </si>
  <si>
    <t xml:space="preserve">NetOps</t>
  </si>
  <si>
    <t xml:space="preserve">Combined infrastructure health analysis across multiple devices</t>
  </si>
  <si>
    <t xml:space="preserve">Multi-device health summary is checked; the analysis wording is not.</t>
  </si>
  <si>
    <t xml:space="preserve">Comparative analysis across different vendors</t>
  </si>
  <si>
    <t xml:space="preserve">Troubleshooting recommendations based on live Zabbix data</t>
  </si>
  <si>
    <t xml:space="preserve">Troubleshooting advice has no fixed right answer - judge note only, no pass / fail.</t>
  </si>
  <si>
    <t xml:space="preserve">Model and serial number of Arista-DCS-7010T-Leaf2</t>
  </si>
  <si>
    <t xml:space="preserve">Checked for all devices; this device-specific prompt is not asked.</t>
  </si>
  <si>
    <t xml:space="preserve">EOS version on Arista-DCS-7010T-Spine1</t>
  </si>
  <si>
    <t xml:space="preserve">Total monitored host count</t>
  </si>
  <si>
    <t xml:space="preserve">Cisco Nexus switches with management IP</t>
  </si>
  <si>
    <t xml:space="preserve">Checked for all devices; the vendor filter is not asked.</t>
  </si>
  <si>
    <t xml:space="preserve">OS version of Cisco-Nexus-Switch3048-Spine2</t>
  </si>
  <si>
    <t xml:space="preserve">Hardware model of every Dell switch</t>
  </si>
  <si>
    <t xml:space="preserve">Vendors represented in the monitored estate</t>
  </si>
  <si>
    <t xml:space="preserve">Serial numbers for all four Arista devices</t>
  </si>
  <si>
    <t xml:space="preserve">Current CPU utilization on Cisco-Catalyst-Switch3650-Leaf1</t>
  </si>
  <si>
    <t xml:space="preserve">Current memory usage on Arista-DCS-7010T-Leaf2</t>
  </si>
  <si>
    <t xml:space="preserve">Current CPU and memory on DELL-EMC-Switch-6039-Spine1</t>
  </si>
  <si>
    <t xml:space="preserve">Temperature reported by Cisco-Nexus-Switch3048-Leaf1</t>
  </si>
  <si>
    <t xml:space="preserve">Fan speeds on Arista Spine 1</t>
  </si>
  <si>
    <t xml:space="preserve">Power supply status on Arista-DCS-7010T-Spine1</t>
  </si>
  <si>
    <t xml:space="preserve">Full health snapshot of Cisco-Nexus-Switch3048-Spine2</t>
  </si>
  <si>
    <t xml:space="preserve">Health verdict for Arista-DCS-7010T-Leaf2</t>
  </si>
  <si>
    <t xml:space="preserve">Fleet-wide check; this device-specific prompt is not asked.</t>
  </si>
  <si>
    <t xml:space="preserve">Fortinet Firewall health check with CPU, memory, uptime and problems</t>
  </si>
  <si>
    <t xml:space="preserve">CPU and memory are checked; uptime and problems are not.</t>
  </si>
  <si>
    <t xml:space="preserve">Hosts unreachable or not collecting data</t>
  </si>
  <si>
    <t xml:space="preserve">The suite counts an unavailable Zabbix host as unhealthy; 'not collecting data' is not asked.</t>
  </si>
  <si>
    <t xml:space="preserve">Overall health posture of the estate</t>
  </si>
  <si>
    <t xml:space="preserve">Problems firing right now</t>
  </si>
  <si>
    <t xml:space="preserve">Active problem count by severity</t>
  </si>
  <si>
    <t xml:space="preserve">Host with the most active problems</t>
  </si>
  <si>
    <t xml:space="preserve">All active problems on Fortinet Firewall</t>
  </si>
  <si>
    <t xml:space="preserve">High severity problems check</t>
  </si>
  <si>
    <t xml:space="preserve">Trigger count on Arista-DCS-7010T-Leaf2</t>
  </si>
  <si>
    <t xml:space="preserve">Memory triggers on Arista-DCS-7010T-Leaf2</t>
  </si>
  <si>
    <t xml:space="preserve">Interface count on Cisco-Nexus-Switch3048-Spine2</t>
  </si>
  <si>
    <t xml:space="preserve">Interfaces are listed and checked; the count question is not asked.</t>
  </si>
  <si>
    <t xml:space="preserve">Down interfaces on Cisco-Nexus-Switch3048-Spine2</t>
  </si>
  <si>
    <t xml:space="preserve">Interface error counters on Cisco-Nexus-Switch3048-Spine2</t>
  </si>
  <si>
    <t xml:space="preserve">Traffic on Ethernet1/1 of Cisco-Nexus-Switch3048-Spine2</t>
  </si>
  <si>
    <t xml:space="preserve">Rank every host by current CPU utilization</t>
  </si>
  <si>
    <t xml:space="preserve">Fleet memory utilization, highest first</t>
  </si>
  <si>
    <t xml:space="preserve">Hosts above 90 percent memory utilization</t>
  </si>
  <si>
    <t xml:space="preserve">Automation threshold is 75%, manual 90%.</t>
  </si>
  <si>
    <t xml:space="preserve">Devices reporting temperature and the hottest ones</t>
  </si>
  <si>
    <t xml:space="preserve">Chart CPU on Cisco-Catalyst-Switch3650-Leaf1 over 24 hours</t>
  </si>
  <si>
    <t xml:space="preserve">Memory chart for Arista-DCS-7010T-Leaf2 for the past week</t>
  </si>
  <si>
    <t xml:space="preserve">Temperature plot for Cisco-Nexus-Switch3048-Spine2 over 12 hours</t>
  </si>
  <si>
    <t xml:space="preserve">Bar chart ranking the fleet by memory utilization</t>
  </si>
  <si>
    <t xml:space="preserve">Pie chart of active problems by severity</t>
  </si>
  <si>
    <t xml:space="preserve">Problem timeline chart for the last 24 hours</t>
  </si>
  <si>
    <t xml:space="preserve">Average CPU on Arista-DCS-7010T-Leaf2 last 5 minutes</t>
  </si>
  <si>
    <t xml:space="preserve">Chart CPU on Arista-DCS-7010T-Leaf2 last 5 minutes</t>
  </si>
  <si>
    <t xml:space="preserve">Average CPU on Arista-DCS-7010T-Leaf2 previous week</t>
  </si>
  <si>
    <t xml:space="preserve">Chart CPU on Arista-DCS-7010T-Leaf2 previous week</t>
  </si>
  <si>
    <t xml:space="preserve">Investigate Cisco-Nexus-Switch3048-Spine2 end to end</t>
  </si>
  <si>
    <t xml:space="preserve">Multi-part investigations</t>
  </si>
  <si>
    <t xml:space="preserve">Multi-part question - each part needs its own check.</t>
  </si>
  <si>
    <t xml:space="preserve">Investigate Arista-DCS-7010T-Leaf2 end to end</t>
  </si>
  <si>
    <t xml:space="preserve">Fleet-wide memory triage with problem duration</t>
  </si>
  <si>
    <t xml:space="preserve">Compare CPU across two hosts over the past week</t>
  </si>
  <si>
    <t xml:space="preserve">Full health check on Fortinet Firewall including API status</t>
  </si>
  <si>
    <t xml:space="preserve">Chart CPU and memory of Linux Server on one graph</t>
  </si>
  <si>
    <t xml:space="preserve">Fleet-wide snapshot with ranking chart and anomaly flags</t>
  </si>
  <si>
    <t xml:space="preserve">P07, P19</t>
  </si>
  <si>
    <t xml:space="preserve">Per-host values and health are checked; the ranking chart and 'abnormal' flags are not.</t>
  </si>
  <si>
    <t xml:space="preserve">General / Overview</t>
  </si>
  <si>
    <t xml:space="preserve">List all devices with hostname and health status</t>
  </si>
  <si>
    <t xml:space="preserve">NCP-3716
NCP-3717</t>
  </si>
  <si>
    <t xml:space="preserve">P01, P19</t>
  </si>
  <si>
    <t xml:space="preserve">Manual FAIL.</t>
  </si>
  <si>
    <t xml:space="preserve">How many fabrics are in the inventory?</t>
  </si>
  <si>
    <t xml:space="preserve">ONES Fabric Manager (read)</t>
  </si>
  <si>
    <t xml:space="preserve">Show all alerts from the last 24 hours</t>
  </si>
  <si>
    <t xml:space="preserve">NCP-3718
NCP-3719</t>
  </si>
  <si>
    <t xml:space="preserve">ONES alerts</t>
  </si>
  <si>
    <t xml:space="preserve">What is the ONES installation ID?</t>
  </si>
  <si>
    <t xml:space="preserve">ONES admin &amp; licences</t>
  </si>
  <si>
    <t xml:space="preserve">List all ONES users</t>
  </si>
  <si>
    <t xml:space="preserve">Alerts</t>
  </si>
  <si>
    <t xml:space="preserve">Show alerts for rule &lt;rule-name&gt;</t>
  </si>
  <si>
    <t xml:space="preserve">What alerts are active on switch &lt;IP&gt;?</t>
  </si>
  <si>
    <t xml:space="preserve">Show &lt;rule-name&gt; alerts on switch &lt;IP&gt;</t>
  </si>
  <si>
    <t xml:space="preserve">Get full payload for alert UUID &lt;UUID&gt;</t>
  </si>
  <si>
    <t xml:space="preserve">Health - Network-wide</t>
  </si>
  <si>
    <t xml:space="preserve">Health overview of all devices</t>
  </si>
  <si>
    <t xml:space="preserve">What is the fabric health status?</t>
  </si>
  <si>
    <t xml:space="preserve">Hardware SKU distribution across the network</t>
  </si>
  <si>
    <t xml:space="preserve">NCP-3721</t>
  </si>
  <si>
    <t xml:space="preserve">P05</t>
  </si>
  <si>
    <t xml:space="preserve">Models are checked; counts per SKU are not. Manual FAIL.</t>
  </si>
  <si>
    <t xml:space="preserve">Devices licensed vs. unlicensed</t>
  </si>
  <si>
    <t xml:space="preserve">Health - Single Switch</t>
  </si>
  <si>
    <t xml:space="preserve">CPU and memory utilization on &lt;IP&gt;</t>
  </si>
  <si>
    <t xml:space="preserve">ONES 10.4.4.181 returns no CPU / memory (null), so automation expects NCP to say 'not available' there.</t>
  </si>
  <si>
    <t xml:space="preserve">Services up vs. down on &lt;IP&gt;</t>
  </si>
  <si>
    <t xml:space="preserve">ONES device detail</t>
  </si>
  <si>
    <t xml:space="preserve">Which services use the most CPU on &lt;IP&gt;?</t>
  </si>
  <si>
    <t xml:space="preserve">NCP-3761</t>
  </si>
  <si>
    <t xml:space="preserve">PSU health on &lt;IP&gt;</t>
  </si>
  <si>
    <t xml:space="preserve">Checked for all devices; this switch-specific prompt is not asked.</t>
  </si>
  <si>
    <t xml:space="preserve">Fan status on &lt;IP&gt;</t>
  </si>
  <si>
    <t xml:space="preserve">SSD health on &lt;IP&gt;</t>
  </si>
  <si>
    <t xml:space="preserve">Transceiver info for Ethernet0 on &lt;IP&gt;</t>
  </si>
  <si>
    <t xml:space="preserve">Bulk / Time-window</t>
  </si>
  <si>
    <t xml:space="preserve">Bulk health metrics for &lt;IP&gt; over the last 1 hour</t>
  </si>
  <si>
    <t xml:space="preserve">CPU trend for &lt;IP&gt; over the last 4 hours</t>
  </si>
  <si>
    <t xml:space="preserve">Traffic counters for Ethernet0 on &lt;IP&gt; over the last 1 day</t>
  </si>
  <si>
    <t xml:space="preserve">Snapshot counters only, not a 1-day window.</t>
  </si>
  <si>
    <t xml:space="preserve">List all inventory devices</t>
  </si>
  <si>
    <t xml:space="preserve">Show ports on switch &lt;IP&gt;</t>
  </si>
  <si>
    <t xml:space="preserve">Show firmware version on &lt;IP&gt;</t>
  </si>
  <si>
    <t xml:space="preserve">Software version for all devices is checked; firmware detail is not.</t>
  </si>
  <si>
    <t xml:space="preserve">Show FAN/PSU inventory (parts, not health) for &lt;IP&gt;</t>
  </si>
  <si>
    <t xml:space="preserve">Fan / PSU status is checked; the parts inventory is not.</t>
  </si>
  <si>
    <t xml:space="preserve">Show devices with recent IP address changes</t>
  </si>
  <si>
    <t xml:space="preserve">Show interface flaps on &lt;IP&gt; between two explicit UTC timestamps</t>
  </si>
  <si>
    <t xml:space="preserve">Fabric Summaries</t>
  </si>
  <si>
    <t xml:space="preserve">Hardware summary for all fabrics</t>
  </si>
  <si>
    <t xml:space="preserve">PSU + fan summary for Fabric 1</t>
  </si>
  <si>
    <t xml:space="preserve">Fan / PSU checked for all devices, not per fabric. Manual FAIL.</t>
  </si>
  <si>
    <t xml:space="preserve">Software versions across the fabric</t>
  </si>
  <si>
    <t xml:space="preserve">P04</t>
  </si>
  <si>
    <t xml:space="preserve">OS versions checked for all devices, not per fabric.</t>
  </si>
  <si>
    <t xml:space="preserve">Port + transceiver summary for Fabric 1</t>
  </si>
  <si>
    <t xml:space="preserve">Protocols &amp; Routing</t>
  </si>
  <si>
    <t xml:space="preserve">Show BGP neighbors on &lt;IP&gt;</t>
  </si>
  <si>
    <t xml:space="preserve">ONES protocols &amp; routing</t>
  </si>
  <si>
    <t xml:space="preserve">BGP summary - neighbors up vs. down on &lt;IP&gt;</t>
  </si>
  <si>
    <t xml:space="preserve">Show VLANs on &lt;IP&gt;</t>
  </si>
  <si>
    <t xml:space="preserve">Show VxLAN summary on &lt;IP&gt;</t>
  </si>
  <si>
    <t xml:space="preserve">Show VxLAN VTEPs on &lt;IP&gt;</t>
  </si>
  <si>
    <t xml:space="preserve">Show MCLAG status on &lt;IP&gt;</t>
  </si>
  <si>
    <t xml:space="preserve">Show IPv4 routing table for &lt;IP&gt;</t>
  </si>
  <si>
    <t xml:space="preserve">Show ACL utilization on &lt;IP&gt;</t>
  </si>
  <si>
    <t xml:space="preserve">Traffic - Snapshot Counters</t>
  </si>
  <si>
    <t xml:space="preserve">Show basic RX/TX counters for Ethernet0 on &lt;IP&gt;</t>
  </si>
  <si>
    <t xml:space="preserve">Show advanced traffic counters for Ethernet0 on &lt;IP&gt;</t>
  </si>
  <si>
    <t xml:space="preserve">Show RoCE counters for Ethernet0 on &lt;IP&gt;</t>
  </si>
  <si>
    <t xml:space="preserve">Licensing &amp; Users</t>
  </si>
  <si>
    <t xml:space="preserve">List all licenses</t>
  </si>
  <si>
    <t xml:space="preserve">Show details for license ID &lt;ID&gt;</t>
  </si>
  <si>
    <t xml:space="preserve">Show user roles in ONES</t>
  </si>
  <si>
    <t xml:space="preserve">ONES Fabric Manager (FM)</t>
  </si>
  <si>
    <t xml:space="preserve">Read Operations - read/list tenants and fabric information</t>
  </si>
  <si>
    <t xml:space="preserve">Tenant Creation</t>
  </si>
  <si>
    <t xml:space="preserve">Write action - excluded from regression (never create / delete / allocate from the suite).</t>
  </si>
  <si>
    <t xml:space="preserve">GPU Allocation / Deallocation</t>
  </si>
  <si>
    <t xml:space="preserve">Tenant Deletion</t>
  </si>
  <si>
    <t xml:space="preserve">ONES Physical Layer &amp; Reliability Compliance</t>
  </si>
  <si>
    <t xml:space="preserve">Traffic-Advance</t>
  </si>
  <si>
    <t xml:space="preserve">Compliance verdict - planned for the AI NOC compliance / audit use cases (AINOC-P06, P08), not this suite.</t>
  </si>
  <si>
    <t xml:space="preserve">Traffic-Advance(Warning)</t>
  </si>
  <si>
    <t xml:space="preserve">CRC Errors (Fail)</t>
  </si>
  <si>
    <t xml:space="preserve">Optics Health - Tx/Rx Power (Compliant)</t>
  </si>
  <si>
    <t xml:space="preserve">Optics Health - Temperature</t>
  </si>
  <si>
    <t xml:space="preserve">Optics Health - Source Validation</t>
  </si>
  <si>
    <t xml:space="preserve">Packet Drops/Discards (Compliant)</t>
  </si>
  <si>
    <t xml:space="preserve">Queue Drops (Compliant)</t>
  </si>
  <si>
    <t xml:space="preserve">Link Flap Count (Compliant)</t>
  </si>
  <si>
    <t xml:space="preserve">NCP-3918</t>
  </si>
  <si>
    <t xml:space="preserve">Link Flap Count (Warning)</t>
  </si>
  <si>
    <t xml:space="preserve">Link Flap Count (Fail)</t>
  </si>
  <si>
    <t xml:space="preserve">Link Flap Threshold Configurability</t>
  </si>
  <si>
    <t xml:space="preserve">Reliability Metrics - Source Validation</t>
  </si>
  <si>
    <t xml:space="preserve">ID</t>
  </si>
  <si>
    <t xml:space="preserve">Automated prompt (data/mcp_prompts.xlsx)</t>
  </si>
  <si>
    <t xml:space="preserve">Nexus Dashboard (Local MCP) - manual testcase No</t>
  </si>
  <si>
    <t xml:space="preserve">Catalyst Center (Local MCP) - manual testcase No</t>
  </si>
  <si>
    <t xml:space="preserve">Zabbix - manual testcase No</t>
  </si>
  <si>
    <t xml:space="preserve">ONES - manual testcase No</t>
  </si>
  <si>
    <t xml:space="preserve">List all devices in my network.</t>
  </si>
  <si>
    <t xml:space="preserve">#18, #32, #57, #70</t>
  </si>
  <si>
    <t xml:space="preserve">—</t>
  </si>
  <si>
    <t xml:space="preserve">#4</t>
  </si>
  <si>
    <t xml:space="preserve">#1, #24</t>
  </si>
  <si>
    <t xml:space="preserve">How many devices are in my network?</t>
  </si>
  <si>
    <t xml:space="preserve">#39, #77</t>
  </si>
  <si>
    <t xml:space="preserve">#78</t>
  </si>
  <si>
    <t xml:space="preserve">List all devices with their hostname, management IP, model, serial number and software version.</t>
  </si>
  <si>
    <t xml:space="preserve">#38, #76</t>
  </si>
  <si>
    <t xml:space="preserve">#5, #6, #7, #8, #10, #76, #77, #79, #80, #81, #83</t>
  </si>
  <si>
    <t xml:space="preserve">#26</t>
  </si>
  <si>
    <t xml:space="preserve">How many devices are running each OS version?</t>
  </si>
  <si>
    <t xml:space="preserve">#7</t>
  </si>
  <si>
    <t xml:space="preserve">#32</t>
  </si>
  <si>
    <t xml:space="preserve">What are the different platforms / models running in the network?</t>
  </si>
  <si>
    <t xml:space="preserve">#5, #81</t>
  </si>
  <si>
    <t xml:space="preserve">#12</t>
  </si>
  <si>
    <t xml:space="preserve">Which devices look unhealthy?</t>
  </si>
  <si>
    <t xml:space="preserve">#19, #40, #58, #78</t>
  </si>
  <si>
    <t xml:space="preserve">#21, #91, #93</t>
  </si>
  <si>
    <t xml:space="preserve">P07</t>
  </si>
  <si>
    <t xml:space="preserve">Show CPU utilization of all devices.</t>
  </si>
  <si>
    <t xml:space="preserve">#22, #33, #54, #61, #71</t>
  </si>
  <si>
    <t xml:space="preserve">#39, #106, #126</t>
  </si>
  <si>
    <t xml:space="preserve">Show memory utilization of all devices.</t>
  </si>
  <si>
    <t xml:space="preserve">#40, #107</t>
  </si>
  <si>
    <t xml:space="preserve">Show CPU and memory for device &lt;DEVICE&gt;.</t>
  </si>
  <si>
    <t xml:space="preserve">#23, #62</t>
  </si>
  <si>
    <t xml:space="preserve">#11, #12, #84, #85, #86, #92</t>
  </si>
  <si>
    <t xml:space="preserve">#14</t>
  </si>
  <si>
    <t xml:space="preserve">Which device currently has the highest CPU?</t>
  </si>
  <si>
    <t xml:space="preserve">#44, #82</t>
  </si>
  <si>
    <t xml:space="preserve">#39, #106</t>
  </si>
  <si>
    <t xml:space="preserve">P11</t>
  </si>
  <si>
    <t xml:space="preserve">List devices with CPU utilization above 80%.</t>
  </si>
  <si>
    <t xml:space="preserve">List devices with memory utilization above 75%.</t>
  </si>
  <si>
    <t xml:space="preserve">#42, #108</t>
  </si>
  <si>
    <t xml:space="preserve">List all interfaces of device &lt;DEVICE&gt;.</t>
  </si>
  <si>
    <t xml:space="preserve">#25, #34, #48, #64, #72, #87</t>
  </si>
  <si>
    <t xml:space="preserve">#32, #102</t>
  </si>
  <si>
    <t xml:space="preserve">#25</t>
  </si>
  <si>
    <t xml:space="preserve">Show interfaces with oper_status = down on &lt;DEVICE&gt;.</t>
  </si>
  <si>
    <t xml:space="preserve">#26, #48, #65, #87</t>
  </si>
  <si>
    <t xml:space="preserve">#33, #103</t>
  </si>
  <si>
    <t xml:space="preserve">Show interface counters for device &lt;DEVICE&gt;.</t>
  </si>
  <si>
    <t xml:space="preserve">#27, #45, #66, #84</t>
  </si>
  <si>
    <t xml:space="preserve">#36, #37, #104</t>
  </si>
  <si>
    <t xml:space="preserve">#23, #42</t>
  </si>
  <si>
    <t xml:space="preserve">Show link details in my network.</t>
  </si>
  <si>
    <t xml:space="preserve">#28, #35, #46, #67, #73, #85</t>
  </si>
  <si>
    <t xml:space="preserve">Show fan and PSU status of all devices.</t>
  </si>
  <si>
    <t xml:space="preserve">#14, #15, #44, #89</t>
  </si>
  <si>
    <t xml:space="preserve">#17, #18, #27, #31</t>
  </si>
  <si>
    <t xml:space="preserve">Show temperature of all devices.</t>
  </si>
  <si>
    <t xml:space="preserve">#13, #41, #87, #109</t>
  </si>
  <si>
    <t xml:space="preserve">Give me a device-by-device health summary.</t>
  </si>
  <si>
    <t xml:space="preserve">#24, #63</t>
  </si>
  <si>
    <t xml:space="preserve">#19, #20, #22, #73, #90, #94, #126</t>
  </si>
  <si>
    <t xml:space="preserve">#1, #10</t>
  </si>
  <si>
    <t xml:space="preserve">P20</t>
  </si>
  <si>
    <t xml:space="preserve">Plot a bar chart of devices by OS version.</t>
  </si>
  <si>
    <t xml:space="preserve">Cells list the manual testcases (No in that connector's sheet) that this prompt covers fully or partly. '—' = no manual testcase asks this. Generic rows that say 'P01-P20' (Nexus #31, #52) are not counted here.</t>
  </si>
  <si>
    <t xml:space="preserve">Priority</t>
  </si>
  <si>
    <t xml:space="preserve">Connector(s)</t>
  </si>
  <si>
    <t xml:space="preserve">What to add</t>
  </si>
  <si>
    <t xml:space="preserve">Manual testcases (No)</t>
  </si>
  <si>
    <t xml:space="preserve">Ground truth for the check</t>
  </si>
  <si>
    <t xml:space="preserve">High</t>
  </si>
  <si>
    <t xml:space="preserve">All 4</t>
  </si>
  <si>
    <t xml:space="preserve">Add a check to every answer: NCP must not ask for credentials or for an MCP connection.</t>
  </si>
  <si>
    <t xml:space="preserve">Nexus: #16, #17, #53</t>
  </si>
  <si>
    <t xml:space="preserve">None needed - a wording check on NCP's answer.</t>
  </si>
  <si>
    <t xml:space="preserve">Small change in checks.py / test_main.py.</t>
  </si>
  <si>
    <t xml:space="preserve">Negative prompt: '#wrong-tag List all devices in my network.' - must not return that connector's devices.</t>
  </si>
  <si>
    <t xml:space="preserve">Nexus: #36, #74</t>
  </si>
  <si>
    <t xml:space="preserve">The connector's own device list (already read by the suite).</t>
  </si>
  <si>
    <t xml:space="preserve">One new check type.</t>
  </si>
  <si>
    <t xml:space="preserve">Active problems: list, by severity, per host, host with most problems, high-severity check.</t>
  </si>
  <si>
    <t xml:space="preserve">Zabbix: #23, #24, #25, #27, #95, #96, #97, #98, #99</t>
  </si>
  <si>
    <t xml:space="preserve">Zabbix problem.get / trigger.get (truth/zabbix.py already calls trigger.get).</t>
  </si>
  <si>
    <t xml:space="preserve">Manual FAIL on #99 - worth automating first.</t>
  </si>
  <si>
    <t xml:space="preserve">Configured triggers on a host, memory triggers, disabled triggers, trigger count.</t>
  </si>
  <si>
    <t xml:space="preserve">Zabbix: #29, #30, #31, #100, #101</t>
  </si>
  <si>
    <t xml:space="preserve">Zabbix trigger.get.</t>
  </si>
  <si>
    <t xml:space="preserve">Manual FAIL on #101.</t>
  </si>
  <si>
    <t xml:space="preserve">Medium</t>
  </si>
  <si>
    <t xml:space="preserve">Charts: CPU, memory, temperature, fan, interface errors, problem timeline / pie, fleet ranking.</t>
  </si>
  <si>
    <t xml:space="preserve">Zabbix: #45, #46, #47, #48, #49, #50, #51, #52, #64, #110, #111, #112, #113, #114, #115, #117, #119, #125</t>
  </si>
  <si>
    <t xml:space="preserve">Same rule as P20: a chart is returned; any numbers in the text must match the source.</t>
  </si>
  <si>
    <t xml:space="preserve">Fabric prompts: fabric summary, switches in a fabric, fabric interface overview.</t>
  </si>
  <si>
    <t xml:space="preserve">Nexus: #20, #21, #47, #59, #60, #86</t>
  </si>
  <si>
    <t xml:space="preserve">Nexus Dashboard fabric data - 10.20.11.3 runs in Fabric Discovery mode, fabric fields not confirmed.</t>
  </si>
  <si>
    <t xml:space="preserve">Transceivers, SSD health, services (up/down, CPU), IP changes, interface flaps, RoCE / advanced counters, port + transceiver summary.</t>
  </si>
  <si>
    <t xml:space="preserve">ONES-MCP: #15, #16, #19, #20, #28, #29, #33, #43, #44</t>
  </si>
  <si>
    <t xml:space="preserve">ONES REST per device.</t>
  </si>
  <si>
    <t xml:space="preserve">Manual FAIL on #16 and #43.</t>
  </si>
  <si>
    <t xml:space="preserve">BGP neighbours and summary, VLANs, VxLAN summary / VTEPs, MCLAG, IPv4 routes, ACL use.</t>
  </si>
  <si>
    <t xml:space="preserve">ONES-MCP: #34, #35, #36, #37, #38, #39, #40, #41</t>
  </si>
  <si>
    <t xml:space="preserve">ONES REST - several routes return 404 / 500 on this build (CLAUDE.md §8).</t>
  </si>
  <si>
    <t xml:space="preserve">Manual FAIL on #39 (MCLAG).</t>
  </si>
  <si>
    <t xml:space="preserve">Zabbix, ONES</t>
  </si>
  <si>
    <t xml:space="preserve">Time-window prompts: min / avg / max over 5 min, 1 h, 24 h, 7 days, previous week; traffic on a port; CPU trend.</t>
  </si>
  <si>
    <t xml:space="preserve">Zabbix: #18, #26, #28, #38, #53, #54, #55, #56, #57, #58, #59, #60, #61, #105, #116, #118
ONES-MCP: #21, #22</t>
  </si>
  <si>
    <t xml:space="preserve">Zabbix history.get / trend.get; ONES bulk APIs (max 1-day window).</t>
  </si>
  <si>
    <t xml:space="preserve">Needs the truth pinned to the same window. Manual FAIL on ONES #22 and Zabbix #105.</t>
  </si>
  <si>
    <t xml:space="preserve">Vendors in the estate, vendor comparison.</t>
  </si>
  <si>
    <t xml:space="preserve">Zabbix: #9, #74, #82</t>
  </si>
  <si>
    <t xml:space="preserve">Zabbix host inventory (vendor field) - not confirmed.</t>
  </si>
  <si>
    <t xml:space="preserve">Uptime, disk use, fan speed, interface admin status / speed / duplex, fleet uptime.</t>
  </si>
  <si>
    <t xml:space="preserve">Zabbix: #16, #17, #34, #35, #43, #88</t>
  </si>
  <si>
    <t xml:space="preserve">Zabbix item.get - item keys not confirmed on 10.4.4.177 (check the probe snapshot).</t>
  </si>
  <si>
    <t xml:space="preserve">Low</t>
  </si>
  <si>
    <t xml:space="preserve">Multi-part investigations (end-to-end host investigation, memory triage, compare two hosts).</t>
  </si>
  <si>
    <t xml:space="preserve">Zabbix: #120, #121, #122, #123, #124</t>
  </si>
  <si>
    <t xml:space="preserve">Split into the single checks above.</t>
  </si>
  <si>
    <t xml:space="preserve">Build after the single checks exist.</t>
  </si>
  <si>
    <t xml:space="preserve">Anomalies by severity / type, top anomalous nodes, advisories, anomaly vs advisory.</t>
  </si>
  <si>
    <t xml:space="preserve">Nexus: #29, #30, #41, #42, #43, #68, #69, #79, #80, #81</t>
  </si>
  <si>
    <t xml:space="preserve">Nexus Dashboard Insights APIs - not confirmed on 10.20.11.3.</t>
  </si>
  <si>
    <t xml:space="preserve">Cluster nodes, cluster resources, storage / disk summary.</t>
  </si>
  <si>
    <t xml:space="preserve">Nexus: #49, #50, #83, #88, #89</t>
  </si>
  <si>
    <t xml:space="preserve">Nexus Dashboard cluster APIs - not confirmed.</t>
  </si>
  <si>
    <t xml:space="preserve">Installation ID, users, user roles, licences, licensed vs unlicensed devices.</t>
  </si>
  <si>
    <t xml:space="preserve">ONES-MCP: #4, #5, #13, #45, #46, #47</t>
  </si>
  <si>
    <t xml:space="preserve">ONES REST admin / licence routes.</t>
  </si>
  <si>
    <t xml:space="preserve">Fabrics count, fabric health, hardware summary per fabric, tenants (read only).</t>
  </si>
  <si>
    <t xml:space="preserve">ONES-MCP: #2, #11, #30, #48</t>
  </si>
  <si>
    <t xml:space="preserve">ONES Fabric Manager API - not set up in the suite.</t>
  </si>
  <si>
    <t xml:space="preserve">Manual FAIL on #30.</t>
  </si>
  <si>
    <t xml:space="preserve">Blocked</t>
  </si>
  <si>
    <t xml:space="preserve">Alerts: last 24 h, per rule, per switch, alert payload.</t>
  </si>
  <si>
    <t xml:space="preserve">ONES-MCP: #3, #6, #7, #8, #9</t>
  </si>
  <si>
    <t xml:space="preserve">ONES alert APIs return 500 / empty on both hosts (CLAUDE.md §8) - no truth yet.</t>
  </si>
  <si>
    <t xml:space="preserve">Manual FAIL on #3, #6-#8 (NCP-3718 / NCP-3719).</t>
  </si>
  <si>
    <t xml:space="preserve">Run every prompt in Project Chat too (house rule: PASS only if both chats pass).</t>
  </si>
  <si>
    <t xml:space="preserve">Nexus: #13</t>
  </si>
  <si>
    <t xml:space="preserve">Same as Admin Chat.</t>
  </si>
  <si>
    <t xml:space="preserve">Needs the WebSocket project_id field and a project (CLAUDE.md §11 q2, q3).</t>
  </si>
  <si>
    <t xml:space="preserve">Total gap testcases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</si>
</sst>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9D9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4A7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7" min="4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6" t="s">
        <v>16</v>
      </c>
      <c r="C6" s="7" t="n">
        <f aca="false">COUNTA(Nexus!$A$2:$A$90)</f>
        <v>89</v>
      </c>
      <c r="D6" s="7" t="n">
        <f aca="false">COUNTIF(Nexus!$D$2:$D$90,"PASS")</f>
        <v>88</v>
      </c>
      <c r="E6" s="7" t="n">
        <f aca="false">COUNTIF(Nexus!$D$2:$D$90,"FAIL")</f>
        <v>1</v>
      </c>
      <c r="F6" s="8" t="n">
        <f aca="false">COUNTIF(Nexus!$F$2:$F$90,"Covered")</f>
        <v>21</v>
      </c>
      <c r="G6" s="9" t="n">
        <f aca="false">COUNTIF(Nexus!$F$2:$F$90,"Partly covered")</f>
        <v>22</v>
      </c>
      <c r="H6" s="10" t="n">
        <f aca="false">COUNTIF(Nexus!$F$2:$F$90,"Gap - can automate")</f>
        <v>27</v>
      </c>
      <c r="I6" s="11" t="n">
        <f aca="false">COUNTIF(Nexus!$F$2:$F$90,"Next phase")</f>
        <v>0</v>
      </c>
      <c r="J6" s="12" t="n">
        <f aca="false">COUNTIF(Nexus!$F$2:$F$90,"Out of scope")</f>
        <v>19</v>
      </c>
      <c r="K6" s="13" t="n">
        <f aca="false">C6-I6-J6</f>
        <v>70</v>
      </c>
      <c r="L6" s="14" t="n">
        <f aca="false">IF(K6=0,"no prompt-level testcases",(F6+G6)/K6)</f>
        <v>0.614285714285714</v>
      </c>
    </row>
    <row r="7" customFormat="false" ht="23.85" hidden="false" customHeight="false" outlineLevel="0" collapsed="false">
      <c r="A7" s="5" t="s">
        <v>17</v>
      </c>
      <c r="B7" s="6" t="s">
        <v>18</v>
      </c>
      <c r="C7" s="7" t="n">
        <f aca="false">COUNTA(Catalyst!$A$2:$A$26)</f>
        <v>25</v>
      </c>
      <c r="D7" s="7" t="n">
        <f aca="false">COUNTIF(Catalyst!$D$2:$D$26,"PASS")</f>
        <v>25</v>
      </c>
      <c r="E7" s="7" t="n">
        <f aca="false">COUNTIF(Catalyst!$D$2:$D$26,"FAIL")</f>
        <v>0</v>
      </c>
      <c r="F7" s="8" t="n">
        <f aca="false">COUNTIF(Catalyst!$F$2:$F$26,"Covered")</f>
        <v>0</v>
      </c>
      <c r="G7" s="9" t="n">
        <f aca="false">COUNTIF(Catalyst!$F$2:$F$26,"Partly covered")</f>
        <v>0</v>
      </c>
      <c r="H7" s="10" t="n">
        <f aca="false">COUNTIF(Catalyst!$F$2:$F$26,"Gap - can automate")</f>
        <v>0</v>
      </c>
      <c r="I7" s="11" t="n">
        <f aca="false">COUNTIF(Catalyst!$F$2:$F$26,"Next phase")</f>
        <v>0</v>
      </c>
      <c r="J7" s="12" t="n">
        <f aca="false">COUNTIF(Catalyst!$F$2:$F$26,"Out of scope")</f>
        <v>25</v>
      </c>
      <c r="K7" s="13" t="n">
        <f aca="false">C7-I7-J7</f>
        <v>0</v>
      </c>
      <c r="L7" s="14" t="str">
        <f aca="false">IF(K7=0,"no prompt-level testcases",(F7+G7)/K7)</f>
        <v>no prompt-level testcases</v>
      </c>
    </row>
    <row r="8" customFormat="false" ht="15" hidden="false" customHeight="false" outlineLevel="0" collapsed="false">
      <c r="A8" s="5" t="s">
        <v>19</v>
      </c>
      <c r="B8" s="6" t="s">
        <v>20</v>
      </c>
      <c r="C8" s="7" t="n">
        <f aca="false">COUNTA(Zabbix!$A$2:$A$127)</f>
        <v>126</v>
      </c>
      <c r="D8" s="7" t="n">
        <f aca="false">COUNTIF(Zabbix!$D$2:$D$127,"PASS")</f>
        <v>123</v>
      </c>
      <c r="E8" s="7" t="n">
        <f aca="false">COUNTIF(Zabbix!$D$2:$D$127,"FAIL")</f>
        <v>3</v>
      </c>
      <c r="F8" s="8" t="n">
        <f aca="false">COUNTIF(Zabbix!$F$2:$F$127,"Covered")</f>
        <v>23</v>
      </c>
      <c r="G8" s="9" t="n">
        <f aca="false">COUNTIF(Zabbix!$F$2:$F$127,"Partly covered")</f>
        <v>27</v>
      </c>
      <c r="H8" s="10" t="n">
        <f aca="false">COUNTIF(Zabbix!$F$2:$F$127,"Gap - can automate")</f>
        <v>62</v>
      </c>
      <c r="I8" s="11" t="n">
        <f aca="false">COUNTIF(Zabbix!$F$2:$F$127,"Next phase")</f>
        <v>0</v>
      </c>
      <c r="J8" s="12" t="n">
        <f aca="false">COUNTIF(Zabbix!$F$2:$F$127,"Out of scope")</f>
        <v>14</v>
      </c>
      <c r="K8" s="13" t="n">
        <f aca="false">C8-I8-J8</f>
        <v>112</v>
      </c>
      <c r="L8" s="14" t="n">
        <f aca="false">IF(K8=0,"no prompt-level testcases",(F8+G8)/K8)</f>
        <v>0.446428571428571</v>
      </c>
    </row>
    <row r="9" customFormat="false" ht="15" hidden="false" customHeight="false" outlineLevel="0" collapsed="false">
      <c r="A9" s="5" t="s">
        <v>21</v>
      </c>
      <c r="B9" s="6" t="s">
        <v>22</v>
      </c>
      <c r="C9" s="7" t="n">
        <f aca="false">COUNTA('ONES-MCP'!$A$2:$A$65)</f>
        <v>64</v>
      </c>
      <c r="D9" s="7" t="n">
        <f aca="false">COUNTIF('ONES-MCP'!$D$2:$D$65,"PASS")</f>
        <v>46</v>
      </c>
      <c r="E9" s="7" t="n">
        <f aca="false">COUNTIF('ONES-MCP'!$D$2:$D$65,"FAIL")</f>
        <v>18</v>
      </c>
      <c r="F9" s="8" t="n">
        <f aca="false">COUNTIF('ONES-MCP'!$F$2:$F$65,"Covered")</f>
        <v>5</v>
      </c>
      <c r="G9" s="9" t="n">
        <f aca="false">COUNTIF('ONES-MCP'!$F$2:$F$65,"Partly covered")</f>
        <v>9</v>
      </c>
      <c r="H9" s="10" t="n">
        <f aca="false">COUNTIF('ONES-MCP'!$F$2:$F$65,"Gap - can automate")</f>
        <v>34</v>
      </c>
      <c r="I9" s="11" t="n">
        <f aca="false">COUNTIF('ONES-MCP'!$F$2:$F$65,"Next phase")</f>
        <v>13</v>
      </c>
      <c r="J9" s="12" t="n">
        <f aca="false">COUNTIF('ONES-MCP'!$F$2:$F$65,"Out of scope")</f>
        <v>3</v>
      </c>
      <c r="K9" s="13" t="n">
        <f aca="false">C9-I9-J9</f>
        <v>48</v>
      </c>
      <c r="L9" s="14" t="n">
        <f aca="false">IF(K9=0,"no prompt-level testcases",(F9+G9)/K9)</f>
        <v>0.291666666666667</v>
      </c>
    </row>
    <row r="10" customFormat="false" ht="15" hidden="false" customHeight="false" outlineLevel="0" collapsed="false">
      <c r="A10" s="5" t="s">
        <v>23</v>
      </c>
      <c r="B10" s="6"/>
      <c r="C10" s="13" t="n">
        <f aca="false">SUM(C6:C9)</f>
        <v>304</v>
      </c>
      <c r="D10" s="13" t="n">
        <f aca="false">SUM(D6:D9)</f>
        <v>282</v>
      </c>
      <c r="E10" s="13" t="n">
        <f aca="false">SUM(E6:E9)</f>
        <v>22</v>
      </c>
      <c r="F10" s="13" t="n">
        <f aca="false">SUM(F6:F9)</f>
        <v>49</v>
      </c>
      <c r="G10" s="13" t="n">
        <f aca="false">SUM(G6:G9)</f>
        <v>58</v>
      </c>
      <c r="H10" s="13" t="n">
        <f aca="false">SUM(H6:H9)</f>
        <v>123</v>
      </c>
      <c r="I10" s="13" t="n">
        <f aca="false">SUM(I6:I9)</f>
        <v>13</v>
      </c>
      <c r="J10" s="13" t="n">
        <f aca="false">SUM(J6:J9)</f>
        <v>61</v>
      </c>
      <c r="K10" s="13" t="n">
        <f aca="false">SUM(K6:K9)</f>
        <v>230</v>
      </c>
      <c r="L10" s="14" t="n">
        <f aca="false">(F10+G10)/K10</f>
        <v>0.465217391304348</v>
      </c>
    </row>
    <row r="11" customFormat="false" ht="15" hidden="false" customHeight="false" outlineLevel="0" collapsed="false">
      <c r="A11" s="15" t="s">
        <v>24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3" customFormat="false" ht="15" hidden="false" customHeight="false" outlineLevel="0" collapsed="false">
      <c r="A13" s="3" t="s">
        <v>25</v>
      </c>
    </row>
    <row r="14" customFormat="false" ht="39.55" hidden="false" customHeight="false" outlineLevel="0" collapsed="false">
      <c r="A14" s="4" t="s">
        <v>3</v>
      </c>
      <c r="B14" s="4" t="s">
        <v>26</v>
      </c>
      <c r="C14" s="4" t="s">
        <v>27</v>
      </c>
      <c r="D14" s="4" t="s">
        <v>28</v>
      </c>
    </row>
    <row r="15" customFormat="false" ht="15" hidden="false" customHeight="false" outlineLevel="0" collapsed="false">
      <c r="A15" s="5" t="s">
        <v>15</v>
      </c>
      <c r="B15" s="7" t="n">
        <f aca="false">COUNTA('Automation view'!$A$2:$A$21)</f>
        <v>20</v>
      </c>
      <c r="C15" s="7" t="n">
        <f aca="false">B15-D15</f>
        <v>13</v>
      </c>
      <c r="D15" s="7" t="n">
        <f aca="false">COUNTIF('Automation view'!$C$2:$C$21,"—")</f>
        <v>7</v>
      </c>
    </row>
    <row r="16" customFormat="false" ht="15" hidden="false" customHeight="false" outlineLevel="0" collapsed="false">
      <c r="A16" s="5" t="s">
        <v>17</v>
      </c>
      <c r="B16" s="7" t="n">
        <f aca="false">COUNTA('Automation view'!$A$2:$A$21)</f>
        <v>20</v>
      </c>
      <c r="C16" s="7" t="n">
        <f aca="false">B16-D16</f>
        <v>0</v>
      </c>
      <c r="D16" s="7" t="n">
        <f aca="false">COUNTIF('Automation view'!$D$2:$D$21,"—")</f>
        <v>20</v>
      </c>
    </row>
    <row r="17" customFormat="false" ht="15" hidden="false" customHeight="false" outlineLevel="0" collapsed="false">
      <c r="A17" s="5" t="s">
        <v>19</v>
      </c>
      <c r="B17" s="7" t="n">
        <f aca="false">COUNTA('Automation view'!$A$2:$A$21)</f>
        <v>20</v>
      </c>
      <c r="C17" s="7" t="n">
        <f aca="false">B17-D17</f>
        <v>17</v>
      </c>
      <c r="D17" s="7" t="n">
        <f aca="false">COUNTIF('Automation view'!$E$2:$E$21,"—")</f>
        <v>3</v>
      </c>
    </row>
    <row r="18" customFormat="false" ht="15" hidden="false" customHeight="false" outlineLevel="0" collapsed="false">
      <c r="A18" s="5" t="s">
        <v>21</v>
      </c>
      <c r="B18" s="7" t="n">
        <f aca="false">COUNTA('Automation view'!$A$2:$A$21)</f>
        <v>20</v>
      </c>
      <c r="C18" s="7" t="n">
        <f aca="false">B18-D18</f>
        <v>9</v>
      </c>
      <c r="D18" s="7" t="n">
        <f aca="false">COUNTIF('Automation view'!$F$2:$F$21,"—")</f>
        <v>11</v>
      </c>
    </row>
    <row r="20" customFormat="false" ht="15" hidden="false" customHeight="false" outlineLevel="0" collapsed="false">
      <c r="A20" s="3" t="s">
        <v>29</v>
      </c>
    </row>
    <row r="21" customFormat="false" ht="57.75" hidden="false" customHeight="true" outlineLevel="0" collapsed="false">
      <c r="A21" s="5" t="s">
        <v>30</v>
      </c>
      <c r="B21" s="6" t="s">
        <v>31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57.75" hidden="false" customHeight="true" outlineLevel="0" collapsed="false">
      <c r="A22" s="5" t="s">
        <v>32</v>
      </c>
      <c r="B22" s="6" t="s">
        <v>33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57.75" hidden="false" customHeight="true" outlineLevel="0" collapsed="false">
      <c r="A23" s="5" t="s">
        <v>19</v>
      </c>
      <c r="B23" s="6" t="s">
        <v>34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57.75" hidden="false" customHeight="true" outlineLevel="0" collapsed="false">
      <c r="A24" s="5" t="s">
        <v>21</v>
      </c>
      <c r="B24" s="6" t="s">
        <v>35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57.75" hidden="false" customHeight="true" outlineLevel="0" collapsed="false">
      <c r="A25" s="5" t="s">
        <v>36</v>
      </c>
      <c r="B25" s="6" t="s">
        <v>37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7" customFormat="false" ht="15" hidden="false" customHeight="false" outlineLevel="0" collapsed="false">
      <c r="A27" s="3" t="s">
        <v>38</v>
      </c>
    </row>
    <row r="28" customFormat="false" ht="15" hidden="false" customHeight="true" outlineLevel="0" collapsed="false">
      <c r="A28" s="16" t="s">
        <v>8</v>
      </c>
      <c r="B28" s="6" t="s">
        <v>39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7" t="s">
        <v>9</v>
      </c>
      <c r="B29" s="6" t="s">
        <v>40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18" t="s">
        <v>10</v>
      </c>
      <c r="B30" s="6" t="s">
        <v>41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9" t="s">
        <v>11</v>
      </c>
      <c r="B31" s="6" t="s">
        <v>42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20" t="s">
        <v>12</v>
      </c>
      <c r="B32" s="6" t="s">
        <v>43</v>
      </c>
      <c r="C32" s="6"/>
      <c r="D32" s="6"/>
      <c r="E32" s="6"/>
      <c r="F32" s="6"/>
      <c r="G32" s="6"/>
      <c r="H32" s="6"/>
      <c r="I32" s="6"/>
      <c r="J32" s="6"/>
      <c r="K32" s="6"/>
      <c r="L32" s="6"/>
    </row>
  </sheetData>
  <mergeCells count="12">
    <mergeCell ref="A2:L2"/>
    <mergeCell ref="A11:L11"/>
    <mergeCell ref="B21:L21"/>
    <mergeCell ref="B22:L22"/>
    <mergeCell ref="B23:L23"/>
    <mergeCell ref="B24:L24"/>
    <mergeCell ref="B25:L25"/>
    <mergeCell ref="B28:L28"/>
    <mergeCell ref="B29:L29"/>
    <mergeCell ref="B30:L30"/>
    <mergeCell ref="B31:L31"/>
    <mergeCell ref="B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39.55" hidden="false" customHeight="fals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customFormat="false" ht="23.85" hidden="false" customHeight="false" outlineLevel="0" collapsed="false">
      <c r="A2" s="7" t="n">
        <v>1</v>
      </c>
      <c r="B2" s="6" t="s">
        <v>53</v>
      </c>
      <c r="C2" s="6" t="s">
        <v>54</v>
      </c>
      <c r="D2" s="16" t="s">
        <v>55</v>
      </c>
      <c r="E2" s="6"/>
      <c r="F2" s="20" t="s">
        <v>12</v>
      </c>
      <c r="G2" s="7"/>
      <c r="H2" s="6"/>
      <c r="I2" s="6" t="s">
        <v>56</v>
      </c>
    </row>
    <row r="3" customFormat="false" ht="15" hidden="false" customHeight="false" outlineLevel="0" collapsed="false">
      <c r="A3" s="7" t="n">
        <v>2</v>
      </c>
      <c r="B3" s="6" t="s">
        <v>53</v>
      </c>
      <c r="C3" s="6" t="s">
        <v>57</v>
      </c>
      <c r="D3" s="16" t="s">
        <v>55</v>
      </c>
      <c r="E3" s="6"/>
      <c r="F3" s="20" t="s">
        <v>12</v>
      </c>
      <c r="G3" s="7"/>
      <c r="H3" s="6"/>
      <c r="I3" s="6" t="s">
        <v>56</v>
      </c>
    </row>
    <row r="4" customFormat="false" ht="23.85" hidden="false" customHeight="false" outlineLevel="0" collapsed="false">
      <c r="A4" s="7" t="n">
        <v>3</v>
      </c>
      <c r="B4" s="6" t="s">
        <v>58</v>
      </c>
      <c r="C4" s="6" t="s">
        <v>59</v>
      </c>
      <c r="D4" s="16" t="s">
        <v>55</v>
      </c>
      <c r="E4" s="6"/>
      <c r="F4" s="20" t="s">
        <v>12</v>
      </c>
      <c r="G4" s="7"/>
      <c r="H4" s="6"/>
      <c r="I4" s="6" t="s">
        <v>60</v>
      </c>
    </row>
    <row r="5" customFormat="false" ht="23.85" hidden="false" customHeight="false" outlineLevel="0" collapsed="false">
      <c r="A5" s="7" t="n">
        <v>4</v>
      </c>
      <c r="B5" s="6" t="s">
        <v>58</v>
      </c>
      <c r="C5" s="6" t="s">
        <v>61</v>
      </c>
      <c r="D5" s="16" t="s">
        <v>55</v>
      </c>
      <c r="E5" s="6"/>
      <c r="F5" s="20" t="s">
        <v>12</v>
      </c>
      <c r="G5" s="7"/>
      <c r="H5" s="6"/>
      <c r="I5" s="6" t="s">
        <v>60</v>
      </c>
    </row>
    <row r="6" customFormat="false" ht="15" hidden="false" customHeight="false" outlineLevel="0" collapsed="false">
      <c r="A6" s="7" t="n">
        <v>5</v>
      </c>
      <c r="B6" s="6" t="s">
        <v>58</v>
      </c>
      <c r="C6" s="6" t="s">
        <v>62</v>
      </c>
      <c r="D6" s="16" t="s">
        <v>55</v>
      </c>
      <c r="E6" s="6"/>
      <c r="F6" s="20" t="s">
        <v>12</v>
      </c>
      <c r="G6" s="7"/>
      <c r="H6" s="6"/>
      <c r="I6" s="6" t="s">
        <v>56</v>
      </c>
    </row>
    <row r="7" customFormat="false" ht="15" hidden="false" customHeight="false" outlineLevel="0" collapsed="false">
      <c r="A7" s="7" t="n">
        <v>6</v>
      </c>
      <c r="B7" s="6" t="s">
        <v>58</v>
      </c>
      <c r="C7" s="6" t="s">
        <v>63</v>
      </c>
      <c r="D7" s="16" t="s">
        <v>55</v>
      </c>
      <c r="E7" s="6"/>
      <c r="F7" s="20" t="s">
        <v>12</v>
      </c>
      <c r="G7" s="7"/>
      <c r="H7" s="6"/>
      <c r="I7" s="6" t="s">
        <v>56</v>
      </c>
    </row>
    <row r="8" customFormat="false" ht="23.85" hidden="false" customHeight="false" outlineLevel="0" collapsed="false">
      <c r="A8" s="7" t="n">
        <v>7</v>
      </c>
      <c r="B8" s="6" t="s">
        <v>58</v>
      </c>
      <c r="C8" s="6" t="s">
        <v>64</v>
      </c>
      <c r="D8" s="16" t="s">
        <v>55</v>
      </c>
      <c r="E8" s="6"/>
      <c r="F8" s="20" t="s">
        <v>12</v>
      </c>
      <c r="G8" s="7"/>
      <c r="H8" s="6"/>
      <c r="I8" s="6" t="s">
        <v>56</v>
      </c>
    </row>
    <row r="9" customFormat="false" ht="23.85" hidden="false" customHeight="false" outlineLevel="0" collapsed="false">
      <c r="A9" s="7" t="n">
        <v>8</v>
      </c>
      <c r="B9" s="6" t="s">
        <v>58</v>
      </c>
      <c r="C9" s="6" t="s">
        <v>65</v>
      </c>
      <c r="D9" s="16" t="s">
        <v>55</v>
      </c>
      <c r="E9" s="6"/>
      <c r="F9" s="20" t="s">
        <v>12</v>
      </c>
      <c r="G9" s="7"/>
      <c r="H9" s="6"/>
      <c r="I9" s="6" t="s">
        <v>60</v>
      </c>
    </row>
    <row r="10" customFormat="false" ht="23.85" hidden="false" customHeight="false" outlineLevel="0" collapsed="false">
      <c r="A10" s="7" t="n">
        <v>9</v>
      </c>
      <c r="B10" s="6" t="s">
        <v>58</v>
      </c>
      <c r="C10" s="6" t="s">
        <v>66</v>
      </c>
      <c r="D10" s="16" t="s">
        <v>55</v>
      </c>
      <c r="E10" s="6"/>
      <c r="F10" s="20" t="s">
        <v>12</v>
      </c>
      <c r="G10" s="7"/>
      <c r="H10" s="6"/>
      <c r="I10" s="6" t="s">
        <v>60</v>
      </c>
    </row>
    <row r="11" customFormat="false" ht="23.85" hidden="false" customHeight="false" outlineLevel="0" collapsed="false">
      <c r="A11" s="7" t="n">
        <v>10</v>
      </c>
      <c r="B11" s="6" t="s">
        <v>67</v>
      </c>
      <c r="C11" s="6" t="s">
        <v>68</v>
      </c>
      <c r="D11" s="16" t="s">
        <v>55</v>
      </c>
      <c r="E11" s="6"/>
      <c r="F11" s="20" t="s">
        <v>12</v>
      </c>
      <c r="G11" s="7"/>
      <c r="H11" s="6"/>
      <c r="I11" s="6" t="s">
        <v>69</v>
      </c>
    </row>
    <row r="12" customFormat="false" ht="15" hidden="false" customHeight="false" outlineLevel="0" collapsed="false">
      <c r="A12" s="7" t="n">
        <v>11</v>
      </c>
      <c r="B12" s="6" t="s">
        <v>67</v>
      </c>
      <c r="C12" s="6" t="s">
        <v>70</v>
      </c>
      <c r="D12" s="16" t="s">
        <v>55</v>
      </c>
      <c r="E12" s="6"/>
      <c r="F12" s="20" t="s">
        <v>12</v>
      </c>
      <c r="G12" s="7"/>
      <c r="H12" s="6"/>
      <c r="I12" s="6" t="s">
        <v>69</v>
      </c>
    </row>
    <row r="13" customFormat="false" ht="15" hidden="false" customHeight="false" outlineLevel="0" collapsed="false">
      <c r="A13" s="7" t="n">
        <v>12</v>
      </c>
      <c r="B13" s="6" t="s">
        <v>71</v>
      </c>
      <c r="C13" s="6" t="s">
        <v>72</v>
      </c>
      <c r="D13" s="16" t="s">
        <v>55</v>
      </c>
      <c r="E13" s="6"/>
      <c r="F13" s="20" t="s">
        <v>12</v>
      </c>
      <c r="G13" s="7"/>
      <c r="H13" s="6"/>
      <c r="I13" s="6" t="s">
        <v>73</v>
      </c>
    </row>
    <row r="14" customFormat="false" ht="23.85" hidden="false" customHeight="false" outlineLevel="0" collapsed="false">
      <c r="A14" s="7" t="n">
        <v>13</v>
      </c>
      <c r="B14" s="6" t="s">
        <v>71</v>
      </c>
      <c r="C14" s="6" t="s">
        <v>74</v>
      </c>
      <c r="D14" s="16" t="s">
        <v>55</v>
      </c>
      <c r="E14" s="6"/>
      <c r="F14" s="18" t="s">
        <v>10</v>
      </c>
      <c r="G14" s="7"/>
      <c r="H14" s="6" t="s">
        <v>75</v>
      </c>
      <c r="I14" s="6" t="s">
        <v>76</v>
      </c>
    </row>
    <row r="15" customFormat="false" ht="23.85" hidden="false" customHeight="false" outlineLevel="0" collapsed="false">
      <c r="A15" s="7" t="n">
        <v>14</v>
      </c>
      <c r="B15" s="6" t="s">
        <v>77</v>
      </c>
      <c r="C15" s="6" t="s">
        <v>78</v>
      </c>
      <c r="D15" s="16" t="s">
        <v>55</v>
      </c>
      <c r="E15" s="6"/>
      <c r="F15" s="20" t="s">
        <v>12</v>
      </c>
      <c r="G15" s="7"/>
      <c r="H15" s="6"/>
      <c r="I15" s="6" t="s">
        <v>79</v>
      </c>
    </row>
    <row r="16" customFormat="false" ht="23.85" hidden="false" customHeight="false" outlineLevel="0" collapsed="false">
      <c r="A16" s="7" t="n">
        <v>15</v>
      </c>
      <c r="B16" s="6" t="s">
        <v>77</v>
      </c>
      <c r="C16" s="6" t="s">
        <v>80</v>
      </c>
      <c r="D16" s="16" t="s">
        <v>55</v>
      </c>
      <c r="E16" s="6"/>
      <c r="F16" s="20" t="s">
        <v>12</v>
      </c>
      <c r="G16" s="7"/>
      <c r="H16" s="6"/>
      <c r="I16" s="6" t="s">
        <v>79</v>
      </c>
    </row>
    <row r="17" customFormat="false" ht="23.85" hidden="false" customHeight="false" outlineLevel="0" collapsed="false">
      <c r="A17" s="7" t="n">
        <v>16</v>
      </c>
      <c r="B17" s="6" t="s">
        <v>77</v>
      </c>
      <c r="C17" s="6" t="s">
        <v>81</v>
      </c>
      <c r="D17" s="16" t="s">
        <v>55</v>
      </c>
      <c r="E17" s="6"/>
      <c r="F17" s="18" t="s">
        <v>10</v>
      </c>
      <c r="G17" s="7"/>
      <c r="H17" s="6" t="s">
        <v>82</v>
      </c>
      <c r="I17" s="6" t="s">
        <v>83</v>
      </c>
    </row>
    <row r="18" customFormat="false" ht="23.85" hidden="false" customHeight="false" outlineLevel="0" collapsed="false">
      <c r="A18" s="7" t="n">
        <v>17</v>
      </c>
      <c r="B18" s="6" t="s">
        <v>77</v>
      </c>
      <c r="C18" s="6" t="s">
        <v>84</v>
      </c>
      <c r="D18" s="16" t="s">
        <v>55</v>
      </c>
      <c r="E18" s="6"/>
      <c r="F18" s="18" t="s">
        <v>10</v>
      </c>
      <c r="G18" s="7"/>
      <c r="H18" s="6" t="s">
        <v>82</v>
      </c>
      <c r="I18" s="6" t="s">
        <v>83</v>
      </c>
    </row>
    <row r="19" customFormat="false" ht="23.85" hidden="false" customHeight="false" outlineLevel="0" collapsed="false">
      <c r="A19" s="7" t="n">
        <v>18</v>
      </c>
      <c r="B19" s="6" t="s">
        <v>75</v>
      </c>
      <c r="C19" s="6" t="s">
        <v>85</v>
      </c>
      <c r="D19" s="16" t="s">
        <v>55</v>
      </c>
      <c r="E19" s="6"/>
      <c r="F19" s="17" t="s">
        <v>9</v>
      </c>
      <c r="G19" s="7" t="s">
        <v>86</v>
      </c>
      <c r="H19" s="6"/>
      <c r="I19" s="6" t="s">
        <v>87</v>
      </c>
    </row>
    <row r="20" customFormat="false" ht="35.05" hidden="false" customHeight="false" outlineLevel="0" collapsed="false">
      <c r="A20" s="7" t="n">
        <v>19</v>
      </c>
      <c r="B20" s="6" t="s">
        <v>75</v>
      </c>
      <c r="C20" s="6" t="s">
        <v>88</v>
      </c>
      <c r="D20" s="16" t="s">
        <v>55</v>
      </c>
      <c r="E20" s="6"/>
      <c r="F20" s="17" t="s">
        <v>9</v>
      </c>
      <c r="G20" s="7" t="s">
        <v>89</v>
      </c>
      <c r="H20" s="6"/>
      <c r="I20" s="6" t="s">
        <v>90</v>
      </c>
    </row>
    <row r="21" customFormat="false" ht="15" hidden="false" customHeight="false" outlineLevel="0" collapsed="false">
      <c r="A21" s="7" t="n">
        <v>20</v>
      </c>
      <c r="B21" s="6" t="s">
        <v>75</v>
      </c>
      <c r="C21" s="6" t="s">
        <v>91</v>
      </c>
      <c r="D21" s="16" t="s">
        <v>55</v>
      </c>
      <c r="E21" s="6"/>
      <c r="F21" s="18" t="s">
        <v>10</v>
      </c>
      <c r="G21" s="7"/>
      <c r="H21" s="6" t="s">
        <v>92</v>
      </c>
      <c r="I21" s="6"/>
    </row>
    <row r="22" customFormat="false" ht="15" hidden="false" customHeight="false" outlineLevel="0" collapsed="false">
      <c r="A22" s="7" t="n">
        <v>21</v>
      </c>
      <c r="B22" s="6" t="s">
        <v>75</v>
      </c>
      <c r="C22" s="6" t="s">
        <v>93</v>
      </c>
      <c r="D22" s="16" t="s">
        <v>55</v>
      </c>
      <c r="E22" s="6"/>
      <c r="F22" s="18" t="s">
        <v>10</v>
      </c>
      <c r="G22" s="7"/>
      <c r="H22" s="6" t="s">
        <v>92</v>
      </c>
      <c r="I22" s="6"/>
    </row>
    <row r="23" customFormat="false" ht="23.85" hidden="false" customHeight="false" outlineLevel="0" collapsed="false">
      <c r="A23" s="7" t="n">
        <v>22</v>
      </c>
      <c r="B23" s="6" t="s">
        <v>75</v>
      </c>
      <c r="C23" s="6" t="s">
        <v>94</v>
      </c>
      <c r="D23" s="16" t="s">
        <v>55</v>
      </c>
      <c r="E23" s="6"/>
      <c r="F23" s="17" t="s">
        <v>9</v>
      </c>
      <c r="G23" s="7" t="s">
        <v>95</v>
      </c>
      <c r="H23" s="6"/>
      <c r="I23" s="6" t="s">
        <v>87</v>
      </c>
    </row>
    <row r="24" customFormat="false" ht="23.85" hidden="false" customHeight="false" outlineLevel="0" collapsed="false">
      <c r="A24" s="7" t="n">
        <v>23</v>
      </c>
      <c r="B24" s="6" t="s">
        <v>75</v>
      </c>
      <c r="C24" s="6" t="s">
        <v>96</v>
      </c>
      <c r="D24" s="16" t="s">
        <v>55</v>
      </c>
      <c r="E24" s="6"/>
      <c r="F24" s="17" t="s">
        <v>9</v>
      </c>
      <c r="G24" s="7" t="s">
        <v>97</v>
      </c>
      <c r="H24" s="6"/>
      <c r="I24" s="6" t="s">
        <v>87</v>
      </c>
    </row>
    <row r="25" customFormat="false" ht="23.85" hidden="false" customHeight="false" outlineLevel="0" collapsed="false">
      <c r="A25" s="7" t="n">
        <v>24</v>
      </c>
      <c r="B25" s="6" t="s">
        <v>75</v>
      </c>
      <c r="C25" s="6" t="s">
        <v>98</v>
      </c>
      <c r="D25" s="16" t="s">
        <v>55</v>
      </c>
      <c r="E25" s="6"/>
      <c r="F25" s="17" t="s">
        <v>9</v>
      </c>
      <c r="G25" s="7" t="s">
        <v>99</v>
      </c>
      <c r="H25" s="6"/>
      <c r="I25" s="6" t="s">
        <v>87</v>
      </c>
    </row>
    <row r="26" customFormat="false" ht="23.85" hidden="false" customHeight="false" outlineLevel="0" collapsed="false">
      <c r="A26" s="7" t="n">
        <v>25</v>
      </c>
      <c r="B26" s="6" t="s">
        <v>75</v>
      </c>
      <c r="C26" s="6" t="s">
        <v>100</v>
      </c>
      <c r="D26" s="16" t="s">
        <v>55</v>
      </c>
      <c r="E26" s="6"/>
      <c r="F26" s="17" t="s">
        <v>9</v>
      </c>
      <c r="G26" s="7" t="s">
        <v>101</v>
      </c>
      <c r="H26" s="6"/>
      <c r="I26" s="6" t="s">
        <v>87</v>
      </c>
    </row>
    <row r="27" customFormat="false" ht="23.85" hidden="false" customHeight="false" outlineLevel="0" collapsed="false">
      <c r="A27" s="7" t="n">
        <v>26</v>
      </c>
      <c r="B27" s="6" t="s">
        <v>75</v>
      </c>
      <c r="C27" s="6" t="s">
        <v>102</v>
      </c>
      <c r="D27" s="16" t="s">
        <v>55</v>
      </c>
      <c r="E27" s="6"/>
      <c r="F27" s="17" t="s">
        <v>9</v>
      </c>
      <c r="G27" s="7" t="s">
        <v>103</v>
      </c>
      <c r="H27" s="6"/>
      <c r="I27" s="6" t="s">
        <v>87</v>
      </c>
    </row>
    <row r="28" customFormat="false" ht="23.85" hidden="false" customHeight="false" outlineLevel="0" collapsed="false">
      <c r="A28" s="7" t="n">
        <v>27</v>
      </c>
      <c r="B28" s="6" t="s">
        <v>75</v>
      </c>
      <c r="C28" s="6" t="s">
        <v>104</v>
      </c>
      <c r="D28" s="16" t="s">
        <v>55</v>
      </c>
      <c r="E28" s="6"/>
      <c r="F28" s="17" t="s">
        <v>9</v>
      </c>
      <c r="G28" s="7" t="s">
        <v>105</v>
      </c>
      <c r="H28" s="6"/>
      <c r="I28" s="6" t="s">
        <v>106</v>
      </c>
    </row>
    <row r="29" customFormat="false" ht="23.85" hidden="false" customHeight="false" outlineLevel="0" collapsed="false">
      <c r="A29" s="7" t="n">
        <v>28</v>
      </c>
      <c r="B29" s="6" t="s">
        <v>75</v>
      </c>
      <c r="C29" s="6" t="s">
        <v>107</v>
      </c>
      <c r="D29" s="16" t="s">
        <v>55</v>
      </c>
      <c r="E29" s="6"/>
      <c r="F29" s="17" t="s">
        <v>9</v>
      </c>
      <c r="G29" s="7" t="s">
        <v>108</v>
      </c>
      <c r="H29" s="6"/>
      <c r="I29" s="6" t="s">
        <v>87</v>
      </c>
    </row>
    <row r="30" customFormat="false" ht="15" hidden="false" customHeight="false" outlineLevel="0" collapsed="false">
      <c r="A30" s="7" t="n">
        <v>29</v>
      </c>
      <c r="B30" s="6" t="s">
        <v>75</v>
      </c>
      <c r="C30" s="6" t="s">
        <v>109</v>
      </c>
      <c r="D30" s="16" t="s">
        <v>55</v>
      </c>
      <c r="E30" s="6"/>
      <c r="F30" s="18" t="s">
        <v>10</v>
      </c>
      <c r="G30" s="7"/>
      <c r="H30" s="6" t="s">
        <v>110</v>
      </c>
      <c r="I30" s="6"/>
    </row>
    <row r="31" customFormat="false" ht="15" hidden="false" customHeight="false" outlineLevel="0" collapsed="false">
      <c r="A31" s="7" t="n">
        <v>30</v>
      </c>
      <c r="B31" s="6" t="s">
        <v>75</v>
      </c>
      <c r="C31" s="6" t="s">
        <v>111</v>
      </c>
      <c r="D31" s="16" t="s">
        <v>55</v>
      </c>
      <c r="E31" s="6"/>
      <c r="F31" s="18" t="s">
        <v>10</v>
      </c>
      <c r="G31" s="7"/>
      <c r="H31" s="6" t="s">
        <v>110</v>
      </c>
      <c r="I31" s="6"/>
    </row>
    <row r="32" customFormat="false" ht="23.85" hidden="false" customHeight="false" outlineLevel="0" collapsed="false">
      <c r="A32" s="7" t="n">
        <v>31</v>
      </c>
      <c r="B32" s="6" t="s">
        <v>112</v>
      </c>
      <c r="C32" s="6" t="s">
        <v>113</v>
      </c>
      <c r="D32" s="16" t="s">
        <v>55</v>
      </c>
      <c r="E32" s="6"/>
      <c r="F32" s="16" t="s">
        <v>8</v>
      </c>
      <c r="G32" s="7" t="s">
        <v>114</v>
      </c>
      <c r="H32" s="6"/>
      <c r="I32" s="6" t="s">
        <v>115</v>
      </c>
    </row>
    <row r="33" customFormat="false" ht="15" hidden="false" customHeight="false" outlineLevel="0" collapsed="false">
      <c r="A33" s="7" t="n">
        <v>32</v>
      </c>
      <c r="B33" s="6" t="s">
        <v>112</v>
      </c>
      <c r="C33" s="6" t="s">
        <v>116</v>
      </c>
      <c r="D33" s="16" t="s">
        <v>55</v>
      </c>
      <c r="E33" s="6"/>
      <c r="F33" s="16" t="s">
        <v>8</v>
      </c>
      <c r="G33" s="7" t="s">
        <v>86</v>
      </c>
      <c r="H33" s="6"/>
      <c r="I33" s="6"/>
    </row>
    <row r="34" customFormat="false" ht="15" hidden="false" customHeight="false" outlineLevel="0" collapsed="false">
      <c r="A34" s="7" t="n">
        <v>33</v>
      </c>
      <c r="B34" s="6" t="s">
        <v>112</v>
      </c>
      <c r="C34" s="6" t="s">
        <v>117</v>
      </c>
      <c r="D34" s="16" t="s">
        <v>55</v>
      </c>
      <c r="E34" s="6"/>
      <c r="F34" s="16" t="s">
        <v>8</v>
      </c>
      <c r="G34" s="7" t="s">
        <v>95</v>
      </c>
      <c r="H34" s="6"/>
      <c r="I34" s="6"/>
    </row>
    <row r="35" customFormat="false" ht="15" hidden="false" customHeight="false" outlineLevel="0" collapsed="false">
      <c r="A35" s="7" t="n">
        <v>34</v>
      </c>
      <c r="B35" s="6" t="s">
        <v>112</v>
      </c>
      <c r="C35" s="6" t="s">
        <v>118</v>
      </c>
      <c r="D35" s="16" t="s">
        <v>55</v>
      </c>
      <c r="E35" s="6"/>
      <c r="F35" s="16" t="s">
        <v>8</v>
      </c>
      <c r="G35" s="7" t="s">
        <v>101</v>
      </c>
      <c r="H35" s="6"/>
      <c r="I35" s="6"/>
    </row>
    <row r="36" customFormat="false" ht="15" hidden="false" customHeight="false" outlineLevel="0" collapsed="false">
      <c r="A36" s="7" t="n">
        <v>35</v>
      </c>
      <c r="B36" s="6" t="s">
        <v>112</v>
      </c>
      <c r="C36" s="6" t="s">
        <v>119</v>
      </c>
      <c r="D36" s="16" t="s">
        <v>55</v>
      </c>
      <c r="E36" s="6"/>
      <c r="F36" s="16" t="s">
        <v>8</v>
      </c>
      <c r="G36" s="7" t="s">
        <v>108</v>
      </c>
      <c r="H36" s="6"/>
      <c r="I36" s="6"/>
    </row>
    <row r="37" customFormat="false" ht="23.85" hidden="false" customHeight="false" outlineLevel="0" collapsed="false">
      <c r="A37" s="7" t="n">
        <v>36</v>
      </c>
      <c r="B37" s="6" t="s">
        <v>112</v>
      </c>
      <c r="C37" s="6" t="s">
        <v>120</v>
      </c>
      <c r="D37" s="16" t="s">
        <v>55</v>
      </c>
      <c r="E37" s="6"/>
      <c r="F37" s="18" t="s">
        <v>10</v>
      </c>
      <c r="G37" s="7"/>
      <c r="H37" s="6" t="s">
        <v>121</v>
      </c>
      <c r="I37" s="6" t="s">
        <v>122</v>
      </c>
    </row>
    <row r="38" customFormat="false" ht="23.85" hidden="false" customHeight="false" outlineLevel="0" collapsed="false">
      <c r="A38" s="7" t="n">
        <v>37</v>
      </c>
      <c r="B38" s="6" t="s">
        <v>112</v>
      </c>
      <c r="C38" s="6" t="s">
        <v>123</v>
      </c>
      <c r="D38" s="16" t="s">
        <v>55</v>
      </c>
      <c r="E38" s="6"/>
      <c r="F38" s="20" t="s">
        <v>12</v>
      </c>
      <c r="G38" s="7"/>
      <c r="H38" s="6"/>
      <c r="I38" s="6" t="s">
        <v>124</v>
      </c>
    </row>
    <row r="39" customFormat="false" ht="23.85" hidden="false" customHeight="false" outlineLevel="0" collapsed="false">
      <c r="A39" s="7" t="n">
        <v>38</v>
      </c>
      <c r="B39" s="6" t="s">
        <v>125</v>
      </c>
      <c r="C39" s="6" t="s">
        <v>126</v>
      </c>
      <c r="D39" s="16" t="s">
        <v>55</v>
      </c>
      <c r="E39" s="6"/>
      <c r="F39" s="17" t="s">
        <v>9</v>
      </c>
      <c r="G39" s="7" t="s">
        <v>127</v>
      </c>
      <c r="H39" s="6"/>
      <c r="I39" s="6" t="s">
        <v>128</v>
      </c>
    </row>
    <row r="40" customFormat="false" ht="15" hidden="false" customHeight="false" outlineLevel="0" collapsed="false">
      <c r="A40" s="7" t="n">
        <v>39</v>
      </c>
      <c r="B40" s="6" t="s">
        <v>125</v>
      </c>
      <c r="C40" s="6" t="s">
        <v>129</v>
      </c>
      <c r="D40" s="16" t="s">
        <v>55</v>
      </c>
      <c r="E40" s="6"/>
      <c r="F40" s="17" t="s">
        <v>9</v>
      </c>
      <c r="G40" s="7" t="s">
        <v>130</v>
      </c>
      <c r="H40" s="6"/>
      <c r="I40" s="6" t="s">
        <v>131</v>
      </c>
    </row>
    <row r="41" customFormat="false" ht="23.85" hidden="false" customHeight="false" outlineLevel="0" collapsed="false">
      <c r="A41" s="7" t="n">
        <v>40</v>
      </c>
      <c r="B41" s="6" t="s">
        <v>132</v>
      </c>
      <c r="C41" s="6" t="s">
        <v>133</v>
      </c>
      <c r="D41" s="16" t="s">
        <v>55</v>
      </c>
      <c r="E41" s="6"/>
      <c r="F41" s="17" t="s">
        <v>9</v>
      </c>
      <c r="G41" s="7" t="s">
        <v>89</v>
      </c>
      <c r="H41" s="6"/>
      <c r="I41" s="6" t="s">
        <v>134</v>
      </c>
    </row>
    <row r="42" customFormat="false" ht="15" hidden="false" customHeight="false" outlineLevel="0" collapsed="false">
      <c r="A42" s="7" t="n">
        <v>41</v>
      </c>
      <c r="B42" s="6" t="s">
        <v>132</v>
      </c>
      <c r="C42" s="6" t="s">
        <v>135</v>
      </c>
      <c r="D42" s="16" t="s">
        <v>55</v>
      </c>
      <c r="E42" s="6"/>
      <c r="F42" s="18" t="s">
        <v>10</v>
      </c>
      <c r="G42" s="7"/>
      <c r="H42" s="6" t="s">
        <v>110</v>
      </c>
      <c r="I42" s="6"/>
    </row>
    <row r="43" customFormat="false" ht="15" hidden="false" customHeight="false" outlineLevel="0" collapsed="false">
      <c r="A43" s="7" t="n">
        <v>42</v>
      </c>
      <c r="B43" s="6" t="s">
        <v>132</v>
      </c>
      <c r="C43" s="6" t="s">
        <v>136</v>
      </c>
      <c r="D43" s="16" t="s">
        <v>55</v>
      </c>
      <c r="E43" s="6"/>
      <c r="F43" s="18" t="s">
        <v>10</v>
      </c>
      <c r="G43" s="7"/>
      <c r="H43" s="6" t="s">
        <v>110</v>
      </c>
      <c r="I43" s="6"/>
    </row>
    <row r="44" customFormat="false" ht="15" hidden="false" customHeight="false" outlineLevel="0" collapsed="false">
      <c r="A44" s="7" t="n">
        <v>43</v>
      </c>
      <c r="B44" s="6" t="s">
        <v>132</v>
      </c>
      <c r="C44" s="6" t="s">
        <v>137</v>
      </c>
      <c r="D44" s="16" t="s">
        <v>55</v>
      </c>
      <c r="E44" s="6"/>
      <c r="F44" s="18" t="s">
        <v>10</v>
      </c>
      <c r="G44" s="7"/>
      <c r="H44" s="6" t="s">
        <v>110</v>
      </c>
      <c r="I44" s="6"/>
    </row>
    <row r="45" customFormat="false" ht="15" hidden="false" customHeight="false" outlineLevel="0" collapsed="false">
      <c r="A45" s="7" t="n">
        <v>44</v>
      </c>
      <c r="B45" s="6" t="s">
        <v>138</v>
      </c>
      <c r="C45" s="6" t="s">
        <v>139</v>
      </c>
      <c r="D45" s="16" t="s">
        <v>55</v>
      </c>
      <c r="E45" s="6"/>
      <c r="F45" s="16" t="s">
        <v>8</v>
      </c>
      <c r="G45" s="7" t="s">
        <v>140</v>
      </c>
      <c r="H45" s="6"/>
      <c r="I45" s="6"/>
    </row>
    <row r="46" customFormat="false" ht="23.85" hidden="false" customHeight="false" outlineLevel="0" collapsed="false">
      <c r="A46" s="7" t="n">
        <v>45</v>
      </c>
      <c r="B46" s="6" t="s">
        <v>141</v>
      </c>
      <c r="C46" s="6" t="s">
        <v>142</v>
      </c>
      <c r="D46" s="16" t="s">
        <v>55</v>
      </c>
      <c r="E46" s="6"/>
      <c r="F46" s="16" t="s">
        <v>8</v>
      </c>
      <c r="G46" s="7" t="s">
        <v>105</v>
      </c>
      <c r="H46" s="6"/>
      <c r="I46" s="6" t="s">
        <v>143</v>
      </c>
    </row>
    <row r="47" customFormat="false" ht="15" hidden="false" customHeight="false" outlineLevel="0" collapsed="false">
      <c r="A47" s="7" t="n">
        <v>46</v>
      </c>
      <c r="B47" s="6" t="s">
        <v>141</v>
      </c>
      <c r="C47" s="6" t="s">
        <v>144</v>
      </c>
      <c r="D47" s="16" t="s">
        <v>55</v>
      </c>
      <c r="E47" s="6"/>
      <c r="F47" s="17" t="s">
        <v>9</v>
      </c>
      <c r="G47" s="7" t="s">
        <v>108</v>
      </c>
      <c r="H47" s="6"/>
      <c r="I47" s="6" t="s">
        <v>145</v>
      </c>
    </row>
    <row r="48" customFormat="false" ht="15" hidden="false" customHeight="false" outlineLevel="0" collapsed="false">
      <c r="A48" s="7" t="n">
        <v>47</v>
      </c>
      <c r="B48" s="6" t="s">
        <v>141</v>
      </c>
      <c r="C48" s="6" t="s">
        <v>146</v>
      </c>
      <c r="D48" s="16" t="s">
        <v>55</v>
      </c>
      <c r="E48" s="6"/>
      <c r="F48" s="18" t="s">
        <v>10</v>
      </c>
      <c r="G48" s="7"/>
      <c r="H48" s="6" t="s">
        <v>92</v>
      </c>
      <c r="I48" s="6"/>
    </row>
    <row r="49" customFormat="false" ht="15" hidden="false" customHeight="false" outlineLevel="0" collapsed="false">
      <c r="A49" s="7" t="n">
        <v>48</v>
      </c>
      <c r="B49" s="6" t="s">
        <v>141</v>
      </c>
      <c r="C49" s="6" t="s">
        <v>147</v>
      </c>
      <c r="D49" s="16" t="s">
        <v>55</v>
      </c>
      <c r="E49" s="6"/>
      <c r="F49" s="17" t="s">
        <v>9</v>
      </c>
      <c r="G49" s="7" t="s">
        <v>148</v>
      </c>
      <c r="H49" s="6"/>
      <c r="I49" s="6" t="s">
        <v>149</v>
      </c>
    </row>
    <row r="50" customFormat="false" ht="15" hidden="false" customHeight="false" outlineLevel="0" collapsed="false">
      <c r="A50" s="7" t="n">
        <v>49</v>
      </c>
      <c r="B50" s="6" t="s">
        <v>150</v>
      </c>
      <c r="C50" s="6" t="s">
        <v>151</v>
      </c>
      <c r="D50" s="16" t="s">
        <v>55</v>
      </c>
      <c r="E50" s="6"/>
      <c r="F50" s="18" t="s">
        <v>10</v>
      </c>
      <c r="G50" s="7"/>
      <c r="H50" s="6" t="s">
        <v>152</v>
      </c>
      <c r="I50" s="6"/>
    </row>
    <row r="51" customFormat="false" ht="23.85" hidden="false" customHeight="false" outlineLevel="0" collapsed="false">
      <c r="A51" s="7" t="n">
        <v>50</v>
      </c>
      <c r="B51" s="6" t="s">
        <v>150</v>
      </c>
      <c r="C51" s="6" t="s">
        <v>153</v>
      </c>
      <c r="D51" s="16" t="s">
        <v>55</v>
      </c>
      <c r="E51" s="6"/>
      <c r="F51" s="18" t="s">
        <v>10</v>
      </c>
      <c r="G51" s="7"/>
      <c r="H51" s="6" t="s">
        <v>152</v>
      </c>
      <c r="I51" s="6"/>
    </row>
    <row r="52" customFormat="false" ht="23.85" hidden="false" customHeight="false" outlineLevel="0" collapsed="false">
      <c r="A52" s="7" t="n">
        <v>51</v>
      </c>
      <c r="B52" s="6" t="s">
        <v>154</v>
      </c>
      <c r="C52" s="6" t="s">
        <v>155</v>
      </c>
      <c r="D52" s="16" t="s">
        <v>55</v>
      </c>
      <c r="E52" s="6"/>
      <c r="F52" s="20" t="s">
        <v>12</v>
      </c>
      <c r="G52" s="7"/>
      <c r="H52" s="6"/>
      <c r="I52" s="6" t="s">
        <v>69</v>
      </c>
    </row>
    <row r="53" customFormat="false" ht="23.85" hidden="false" customHeight="false" outlineLevel="0" collapsed="false">
      <c r="A53" s="7" t="n">
        <v>52</v>
      </c>
      <c r="B53" s="6" t="s">
        <v>154</v>
      </c>
      <c r="C53" s="6" t="s">
        <v>156</v>
      </c>
      <c r="D53" s="16" t="s">
        <v>55</v>
      </c>
      <c r="E53" s="6"/>
      <c r="F53" s="17" t="s">
        <v>9</v>
      </c>
      <c r="G53" s="7" t="s">
        <v>114</v>
      </c>
      <c r="H53" s="6"/>
      <c r="I53" s="6" t="s">
        <v>157</v>
      </c>
    </row>
    <row r="54" customFormat="false" ht="23.85" hidden="false" customHeight="false" outlineLevel="0" collapsed="false">
      <c r="A54" s="7" t="n">
        <v>53</v>
      </c>
      <c r="B54" s="6" t="s">
        <v>154</v>
      </c>
      <c r="C54" s="6" t="s">
        <v>158</v>
      </c>
      <c r="D54" s="16" t="s">
        <v>55</v>
      </c>
      <c r="E54" s="6"/>
      <c r="F54" s="18" t="s">
        <v>10</v>
      </c>
      <c r="G54" s="7"/>
      <c r="H54" s="6" t="s">
        <v>82</v>
      </c>
      <c r="I54" s="6" t="s">
        <v>83</v>
      </c>
    </row>
    <row r="55" customFormat="false" ht="23.85" hidden="false" customHeight="false" outlineLevel="0" collapsed="false">
      <c r="A55" s="7" t="n">
        <v>54</v>
      </c>
      <c r="B55" s="6" t="s">
        <v>154</v>
      </c>
      <c r="C55" s="6" t="s">
        <v>159</v>
      </c>
      <c r="D55" s="16" t="s">
        <v>55</v>
      </c>
      <c r="E55" s="6"/>
      <c r="F55" s="16" t="s">
        <v>8</v>
      </c>
      <c r="G55" s="7" t="s">
        <v>95</v>
      </c>
      <c r="H55" s="6"/>
      <c r="I55" s="6" t="s">
        <v>160</v>
      </c>
    </row>
    <row r="56" customFormat="false" ht="23.85" hidden="false" customHeight="false" outlineLevel="0" collapsed="false">
      <c r="A56" s="7" t="n">
        <v>55</v>
      </c>
      <c r="B56" s="6" t="s">
        <v>161</v>
      </c>
      <c r="C56" s="6" t="s">
        <v>162</v>
      </c>
      <c r="D56" s="16" t="s">
        <v>55</v>
      </c>
      <c r="E56" s="6"/>
      <c r="F56" s="20" t="s">
        <v>12</v>
      </c>
      <c r="G56" s="7"/>
      <c r="H56" s="6"/>
      <c r="I56" s="6" t="s">
        <v>163</v>
      </c>
    </row>
    <row r="57" customFormat="false" ht="23.85" hidden="false" customHeight="false" outlineLevel="0" collapsed="false">
      <c r="A57" s="7" t="n">
        <v>56</v>
      </c>
      <c r="B57" s="6" t="s">
        <v>161</v>
      </c>
      <c r="C57" s="6" t="s">
        <v>164</v>
      </c>
      <c r="D57" s="16" t="s">
        <v>55</v>
      </c>
      <c r="E57" s="6"/>
      <c r="F57" s="20" t="s">
        <v>12</v>
      </c>
      <c r="G57" s="7"/>
      <c r="H57" s="6"/>
      <c r="I57" s="6" t="s">
        <v>163</v>
      </c>
    </row>
    <row r="58" customFormat="false" ht="15" hidden="false" customHeight="false" outlineLevel="0" collapsed="false">
      <c r="A58" s="7" t="n">
        <v>57</v>
      </c>
      <c r="B58" s="6" t="s">
        <v>165</v>
      </c>
      <c r="C58" s="6" t="s">
        <v>166</v>
      </c>
      <c r="D58" s="16" t="s">
        <v>55</v>
      </c>
      <c r="E58" s="6"/>
      <c r="F58" s="16" t="s">
        <v>8</v>
      </c>
      <c r="G58" s="7" t="s">
        <v>86</v>
      </c>
      <c r="H58" s="6"/>
      <c r="I58" s="6" t="s">
        <v>167</v>
      </c>
    </row>
    <row r="59" customFormat="false" ht="23.85" hidden="false" customHeight="false" outlineLevel="0" collapsed="false">
      <c r="A59" s="7" t="n">
        <v>58</v>
      </c>
      <c r="B59" s="6" t="s">
        <v>165</v>
      </c>
      <c r="C59" s="6" t="s">
        <v>168</v>
      </c>
      <c r="D59" s="16" t="s">
        <v>55</v>
      </c>
      <c r="E59" s="6"/>
      <c r="F59" s="16" t="s">
        <v>8</v>
      </c>
      <c r="G59" s="7" t="s">
        <v>89</v>
      </c>
      <c r="H59" s="6"/>
      <c r="I59" s="6" t="s">
        <v>169</v>
      </c>
    </row>
    <row r="60" customFormat="false" ht="23.85" hidden="false" customHeight="false" outlineLevel="0" collapsed="false">
      <c r="A60" s="7" t="n">
        <v>59</v>
      </c>
      <c r="B60" s="6" t="s">
        <v>165</v>
      </c>
      <c r="C60" s="6" t="s">
        <v>170</v>
      </c>
      <c r="D60" s="16" t="s">
        <v>55</v>
      </c>
      <c r="E60" s="6"/>
      <c r="F60" s="18" t="s">
        <v>10</v>
      </c>
      <c r="G60" s="7"/>
      <c r="H60" s="6" t="s">
        <v>92</v>
      </c>
      <c r="I60" s="6"/>
    </row>
    <row r="61" customFormat="false" ht="23.85" hidden="false" customHeight="false" outlineLevel="0" collapsed="false">
      <c r="A61" s="7" t="n">
        <v>60</v>
      </c>
      <c r="B61" s="6" t="s">
        <v>165</v>
      </c>
      <c r="C61" s="6" t="s">
        <v>171</v>
      </c>
      <c r="D61" s="16" t="s">
        <v>55</v>
      </c>
      <c r="E61" s="6"/>
      <c r="F61" s="18" t="s">
        <v>10</v>
      </c>
      <c r="G61" s="7"/>
      <c r="H61" s="6" t="s">
        <v>92</v>
      </c>
      <c r="I61" s="6"/>
    </row>
    <row r="62" customFormat="false" ht="23.85" hidden="false" customHeight="false" outlineLevel="0" collapsed="false">
      <c r="A62" s="7" t="n">
        <v>61</v>
      </c>
      <c r="B62" s="6" t="s">
        <v>165</v>
      </c>
      <c r="C62" s="6" t="s">
        <v>172</v>
      </c>
      <c r="D62" s="16" t="s">
        <v>55</v>
      </c>
      <c r="E62" s="6"/>
      <c r="F62" s="16" t="s">
        <v>8</v>
      </c>
      <c r="G62" s="7" t="s">
        <v>95</v>
      </c>
      <c r="H62" s="6"/>
      <c r="I62" s="6"/>
    </row>
    <row r="63" customFormat="false" ht="23.85" hidden="false" customHeight="false" outlineLevel="0" collapsed="false">
      <c r="A63" s="7" t="n">
        <v>62</v>
      </c>
      <c r="B63" s="6" t="s">
        <v>165</v>
      </c>
      <c r="C63" s="6" t="s">
        <v>173</v>
      </c>
      <c r="D63" s="16" t="s">
        <v>55</v>
      </c>
      <c r="E63" s="6"/>
      <c r="F63" s="16" t="s">
        <v>8</v>
      </c>
      <c r="G63" s="7" t="s">
        <v>97</v>
      </c>
      <c r="H63" s="6"/>
      <c r="I63" s="6"/>
    </row>
    <row r="64" customFormat="false" ht="23.85" hidden="false" customHeight="false" outlineLevel="0" collapsed="false">
      <c r="A64" s="7" t="n">
        <v>63</v>
      </c>
      <c r="B64" s="6" t="s">
        <v>165</v>
      </c>
      <c r="C64" s="6" t="s">
        <v>174</v>
      </c>
      <c r="D64" s="16" t="s">
        <v>55</v>
      </c>
      <c r="E64" s="6"/>
      <c r="F64" s="17" t="s">
        <v>9</v>
      </c>
      <c r="G64" s="7" t="s">
        <v>99</v>
      </c>
      <c r="H64" s="6"/>
      <c r="I64" s="6" t="s">
        <v>175</v>
      </c>
    </row>
    <row r="65" customFormat="false" ht="23.85" hidden="false" customHeight="false" outlineLevel="0" collapsed="false">
      <c r="A65" s="7" t="n">
        <v>64</v>
      </c>
      <c r="B65" s="6" t="s">
        <v>165</v>
      </c>
      <c r="C65" s="6" t="s">
        <v>176</v>
      </c>
      <c r="D65" s="16" t="s">
        <v>55</v>
      </c>
      <c r="E65" s="6"/>
      <c r="F65" s="16" t="s">
        <v>8</v>
      </c>
      <c r="G65" s="7" t="s">
        <v>101</v>
      </c>
      <c r="H65" s="6"/>
      <c r="I65" s="6"/>
    </row>
    <row r="66" customFormat="false" ht="23.85" hidden="false" customHeight="false" outlineLevel="0" collapsed="false">
      <c r="A66" s="7" t="n">
        <v>65</v>
      </c>
      <c r="B66" s="6" t="s">
        <v>165</v>
      </c>
      <c r="C66" s="6" t="s">
        <v>177</v>
      </c>
      <c r="D66" s="16" t="s">
        <v>55</v>
      </c>
      <c r="E66" s="6"/>
      <c r="F66" s="16" t="s">
        <v>8</v>
      </c>
      <c r="G66" s="7" t="s">
        <v>103</v>
      </c>
      <c r="H66" s="6"/>
      <c r="I66" s="6"/>
    </row>
    <row r="67" customFormat="false" ht="23.85" hidden="false" customHeight="false" outlineLevel="0" collapsed="false">
      <c r="A67" s="7" t="n">
        <v>66</v>
      </c>
      <c r="B67" s="6" t="s">
        <v>165</v>
      </c>
      <c r="C67" s="6" t="s">
        <v>178</v>
      </c>
      <c r="D67" s="16" t="s">
        <v>55</v>
      </c>
      <c r="E67" s="6"/>
      <c r="F67" s="17" t="s">
        <v>9</v>
      </c>
      <c r="G67" s="7" t="s">
        <v>105</v>
      </c>
      <c r="H67" s="6"/>
      <c r="I67" s="6" t="s">
        <v>179</v>
      </c>
    </row>
    <row r="68" customFormat="false" ht="23.85" hidden="false" customHeight="false" outlineLevel="0" collapsed="false">
      <c r="A68" s="7" t="n">
        <v>67</v>
      </c>
      <c r="B68" s="6" t="s">
        <v>165</v>
      </c>
      <c r="C68" s="6" t="s">
        <v>180</v>
      </c>
      <c r="D68" s="16" t="s">
        <v>55</v>
      </c>
      <c r="E68" s="6"/>
      <c r="F68" s="16" t="s">
        <v>8</v>
      </c>
      <c r="G68" s="7" t="s">
        <v>108</v>
      </c>
      <c r="H68" s="6"/>
      <c r="I68" s="6" t="s">
        <v>181</v>
      </c>
    </row>
    <row r="69" customFormat="false" ht="23.85" hidden="false" customHeight="false" outlineLevel="0" collapsed="false">
      <c r="A69" s="7" t="n">
        <v>68</v>
      </c>
      <c r="B69" s="6" t="s">
        <v>165</v>
      </c>
      <c r="C69" s="6" t="s">
        <v>182</v>
      </c>
      <c r="D69" s="16" t="s">
        <v>55</v>
      </c>
      <c r="E69" s="6"/>
      <c r="F69" s="18" t="s">
        <v>10</v>
      </c>
      <c r="G69" s="7"/>
      <c r="H69" s="6" t="s">
        <v>110</v>
      </c>
      <c r="I69" s="6"/>
    </row>
    <row r="70" customFormat="false" ht="23.85" hidden="false" customHeight="false" outlineLevel="0" collapsed="false">
      <c r="A70" s="7" t="n">
        <v>69</v>
      </c>
      <c r="B70" s="6" t="s">
        <v>165</v>
      </c>
      <c r="C70" s="6" t="s">
        <v>183</v>
      </c>
      <c r="D70" s="16" t="s">
        <v>55</v>
      </c>
      <c r="E70" s="6"/>
      <c r="F70" s="18" t="s">
        <v>10</v>
      </c>
      <c r="G70" s="7"/>
      <c r="H70" s="6" t="s">
        <v>110</v>
      </c>
      <c r="I70" s="6"/>
    </row>
    <row r="71" customFormat="false" ht="23.85" hidden="false" customHeight="false" outlineLevel="0" collapsed="false">
      <c r="A71" s="7" t="n">
        <v>70</v>
      </c>
      <c r="B71" s="6" t="s">
        <v>165</v>
      </c>
      <c r="C71" s="6" t="s">
        <v>184</v>
      </c>
      <c r="D71" s="18" t="s">
        <v>185</v>
      </c>
      <c r="E71" s="6"/>
      <c r="F71" s="16" t="s">
        <v>8</v>
      </c>
      <c r="G71" s="7" t="s">
        <v>86</v>
      </c>
      <c r="H71" s="6"/>
      <c r="I71" s="6" t="s">
        <v>186</v>
      </c>
    </row>
    <row r="72" customFormat="false" ht="35.05" hidden="false" customHeight="false" outlineLevel="0" collapsed="false">
      <c r="A72" s="7" t="n">
        <v>71</v>
      </c>
      <c r="B72" s="6" t="s">
        <v>165</v>
      </c>
      <c r="C72" s="6" t="s">
        <v>187</v>
      </c>
      <c r="D72" s="16" t="s">
        <v>55</v>
      </c>
      <c r="E72" s="6"/>
      <c r="F72" s="16" t="s">
        <v>8</v>
      </c>
      <c r="G72" s="7" t="s">
        <v>95</v>
      </c>
      <c r="H72" s="6"/>
      <c r="I72" s="6"/>
    </row>
    <row r="73" customFormat="false" ht="35.05" hidden="false" customHeight="false" outlineLevel="0" collapsed="false">
      <c r="A73" s="7" t="n">
        <v>72</v>
      </c>
      <c r="B73" s="6" t="s">
        <v>165</v>
      </c>
      <c r="C73" s="6" t="s">
        <v>188</v>
      </c>
      <c r="D73" s="16" t="s">
        <v>55</v>
      </c>
      <c r="E73" s="6"/>
      <c r="F73" s="16" t="s">
        <v>8</v>
      </c>
      <c r="G73" s="7" t="s">
        <v>101</v>
      </c>
      <c r="H73" s="6"/>
      <c r="I73" s="6"/>
    </row>
    <row r="74" customFormat="false" ht="23.85" hidden="false" customHeight="false" outlineLevel="0" collapsed="false">
      <c r="A74" s="7" t="n">
        <v>73</v>
      </c>
      <c r="B74" s="6" t="s">
        <v>165</v>
      </c>
      <c r="C74" s="6" t="s">
        <v>189</v>
      </c>
      <c r="D74" s="16" t="s">
        <v>55</v>
      </c>
      <c r="E74" s="6"/>
      <c r="F74" s="16" t="s">
        <v>8</v>
      </c>
      <c r="G74" s="7" t="s">
        <v>108</v>
      </c>
      <c r="H74" s="6"/>
      <c r="I74" s="6"/>
    </row>
    <row r="75" customFormat="false" ht="23.85" hidden="false" customHeight="false" outlineLevel="0" collapsed="false">
      <c r="A75" s="7" t="n">
        <v>74</v>
      </c>
      <c r="B75" s="6" t="s">
        <v>165</v>
      </c>
      <c r="C75" s="6" t="s">
        <v>190</v>
      </c>
      <c r="D75" s="16" t="s">
        <v>55</v>
      </c>
      <c r="E75" s="6"/>
      <c r="F75" s="18" t="s">
        <v>10</v>
      </c>
      <c r="G75" s="7"/>
      <c r="H75" s="6" t="s">
        <v>121</v>
      </c>
      <c r="I75" s="6" t="s">
        <v>122</v>
      </c>
    </row>
    <row r="76" customFormat="false" ht="23.85" hidden="false" customHeight="false" outlineLevel="0" collapsed="false">
      <c r="A76" s="7" t="n">
        <v>75</v>
      </c>
      <c r="B76" s="6" t="s">
        <v>165</v>
      </c>
      <c r="C76" s="6" t="s">
        <v>191</v>
      </c>
      <c r="D76" s="16" t="s">
        <v>55</v>
      </c>
      <c r="E76" s="6"/>
      <c r="F76" s="20" t="s">
        <v>12</v>
      </c>
      <c r="G76" s="7"/>
      <c r="H76" s="6"/>
      <c r="I76" s="6" t="s">
        <v>124</v>
      </c>
    </row>
    <row r="77" customFormat="false" ht="23.85" hidden="false" customHeight="false" outlineLevel="0" collapsed="false">
      <c r="A77" s="7" t="n">
        <v>76</v>
      </c>
      <c r="B77" s="6" t="s">
        <v>165</v>
      </c>
      <c r="C77" s="6" t="s">
        <v>192</v>
      </c>
      <c r="D77" s="16" t="s">
        <v>55</v>
      </c>
      <c r="E77" s="6"/>
      <c r="F77" s="17" t="s">
        <v>9</v>
      </c>
      <c r="G77" s="7" t="s">
        <v>127</v>
      </c>
      <c r="H77" s="6"/>
      <c r="I77" s="6" t="s">
        <v>128</v>
      </c>
    </row>
    <row r="78" customFormat="false" ht="23.85" hidden="false" customHeight="false" outlineLevel="0" collapsed="false">
      <c r="A78" s="7" t="n">
        <v>77</v>
      </c>
      <c r="B78" s="6" t="s">
        <v>165</v>
      </c>
      <c r="C78" s="6" t="s">
        <v>193</v>
      </c>
      <c r="D78" s="16" t="s">
        <v>55</v>
      </c>
      <c r="E78" s="6"/>
      <c r="F78" s="17" t="s">
        <v>9</v>
      </c>
      <c r="G78" s="7" t="s">
        <v>130</v>
      </c>
      <c r="H78" s="6"/>
      <c r="I78" s="6" t="s">
        <v>131</v>
      </c>
    </row>
    <row r="79" customFormat="false" ht="35.05" hidden="false" customHeight="false" outlineLevel="0" collapsed="false">
      <c r="A79" s="7" t="n">
        <v>78</v>
      </c>
      <c r="B79" s="6" t="s">
        <v>165</v>
      </c>
      <c r="C79" s="6" t="s">
        <v>194</v>
      </c>
      <c r="D79" s="16" t="s">
        <v>55</v>
      </c>
      <c r="E79" s="6"/>
      <c r="F79" s="17" t="s">
        <v>9</v>
      </c>
      <c r="G79" s="7" t="s">
        <v>89</v>
      </c>
      <c r="H79" s="6"/>
      <c r="I79" s="6" t="s">
        <v>195</v>
      </c>
    </row>
    <row r="80" customFormat="false" ht="23.85" hidden="false" customHeight="false" outlineLevel="0" collapsed="false">
      <c r="A80" s="7" t="n">
        <v>79</v>
      </c>
      <c r="B80" s="6" t="s">
        <v>165</v>
      </c>
      <c r="C80" s="6" t="s">
        <v>196</v>
      </c>
      <c r="D80" s="16" t="s">
        <v>55</v>
      </c>
      <c r="E80" s="6"/>
      <c r="F80" s="18" t="s">
        <v>10</v>
      </c>
      <c r="G80" s="7"/>
      <c r="H80" s="6" t="s">
        <v>110</v>
      </c>
      <c r="I80" s="6"/>
    </row>
    <row r="81" customFormat="false" ht="23.85" hidden="false" customHeight="false" outlineLevel="0" collapsed="false">
      <c r="A81" s="7" t="n">
        <v>80</v>
      </c>
      <c r="B81" s="6" t="s">
        <v>165</v>
      </c>
      <c r="C81" s="6" t="s">
        <v>197</v>
      </c>
      <c r="D81" s="16" t="s">
        <v>55</v>
      </c>
      <c r="E81" s="6"/>
      <c r="F81" s="18" t="s">
        <v>10</v>
      </c>
      <c r="G81" s="7"/>
      <c r="H81" s="6" t="s">
        <v>110</v>
      </c>
      <c r="I81" s="6"/>
    </row>
    <row r="82" customFormat="false" ht="23.85" hidden="false" customHeight="false" outlineLevel="0" collapsed="false">
      <c r="A82" s="7" t="n">
        <v>81</v>
      </c>
      <c r="B82" s="6" t="s">
        <v>165</v>
      </c>
      <c r="C82" s="6" t="s">
        <v>198</v>
      </c>
      <c r="D82" s="16" t="s">
        <v>55</v>
      </c>
      <c r="E82" s="6"/>
      <c r="F82" s="18" t="s">
        <v>10</v>
      </c>
      <c r="G82" s="7"/>
      <c r="H82" s="6" t="s">
        <v>110</v>
      </c>
      <c r="I82" s="6"/>
    </row>
    <row r="83" customFormat="false" ht="23.85" hidden="false" customHeight="false" outlineLevel="0" collapsed="false">
      <c r="A83" s="7" t="n">
        <v>82</v>
      </c>
      <c r="B83" s="6" t="s">
        <v>165</v>
      </c>
      <c r="C83" s="6" t="s">
        <v>199</v>
      </c>
      <c r="D83" s="16" t="s">
        <v>55</v>
      </c>
      <c r="E83" s="6"/>
      <c r="F83" s="16" t="s">
        <v>8</v>
      </c>
      <c r="G83" s="7" t="s">
        <v>140</v>
      </c>
      <c r="H83" s="6"/>
      <c r="I83" s="6"/>
    </row>
    <row r="84" customFormat="false" ht="23.85" hidden="false" customHeight="false" outlineLevel="0" collapsed="false">
      <c r="A84" s="7" t="n">
        <v>83</v>
      </c>
      <c r="B84" s="6" t="s">
        <v>165</v>
      </c>
      <c r="C84" s="6" t="s">
        <v>200</v>
      </c>
      <c r="D84" s="16" t="s">
        <v>55</v>
      </c>
      <c r="E84" s="6"/>
      <c r="F84" s="18" t="s">
        <v>10</v>
      </c>
      <c r="G84" s="7"/>
      <c r="H84" s="6" t="s">
        <v>152</v>
      </c>
      <c r="I84" s="6" t="s">
        <v>201</v>
      </c>
    </row>
    <row r="85" customFormat="false" ht="23.85" hidden="false" customHeight="false" outlineLevel="0" collapsed="false">
      <c r="A85" s="7" t="n">
        <v>84</v>
      </c>
      <c r="B85" s="6" t="s">
        <v>165</v>
      </c>
      <c r="C85" s="6" t="s">
        <v>202</v>
      </c>
      <c r="D85" s="16" t="s">
        <v>55</v>
      </c>
      <c r="E85" s="6"/>
      <c r="F85" s="16" t="s">
        <v>8</v>
      </c>
      <c r="G85" s="7" t="s">
        <v>105</v>
      </c>
      <c r="H85" s="6"/>
      <c r="I85" s="6" t="s">
        <v>203</v>
      </c>
    </row>
    <row r="86" customFormat="false" ht="23.85" hidden="false" customHeight="false" outlineLevel="0" collapsed="false">
      <c r="A86" s="7" t="n">
        <v>85</v>
      </c>
      <c r="B86" s="6" t="s">
        <v>165</v>
      </c>
      <c r="C86" s="6" t="s">
        <v>204</v>
      </c>
      <c r="D86" s="16" t="s">
        <v>55</v>
      </c>
      <c r="E86" s="6"/>
      <c r="F86" s="17" t="s">
        <v>9</v>
      </c>
      <c r="G86" s="7" t="s">
        <v>108</v>
      </c>
      <c r="H86" s="6"/>
      <c r="I86" s="6" t="s">
        <v>145</v>
      </c>
    </row>
    <row r="87" customFormat="false" ht="23.85" hidden="false" customHeight="false" outlineLevel="0" collapsed="false">
      <c r="A87" s="7" t="n">
        <v>86</v>
      </c>
      <c r="B87" s="6" t="s">
        <v>165</v>
      </c>
      <c r="C87" s="6" t="s">
        <v>205</v>
      </c>
      <c r="D87" s="16" t="s">
        <v>55</v>
      </c>
      <c r="E87" s="6"/>
      <c r="F87" s="18" t="s">
        <v>10</v>
      </c>
      <c r="G87" s="7"/>
      <c r="H87" s="6" t="s">
        <v>92</v>
      </c>
      <c r="I87" s="6"/>
    </row>
    <row r="88" customFormat="false" ht="23.85" hidden="false" customHeight="false" outlineLevel="0" collapsed="false">
      <c r="A88" s="7" t="n">
        <v>87</v>
      </c>
      <c r="B88" s="6" t="s">
        <v>165</v>
      </c>
      <c r="C88" s="6" t="s">
        <v>206</v>
      </c>
      <c r="D88" s="16" t="s">
        <v>55</v>
      </c>
      <c r="E88" s="6"/>
      <c r="F88" s="17" t="s">
        <v>9</v>
      </c>
      <c r="G88" s="7" t="s">
        <v>148</v>
      </c>
      <c r="H88" s="6"/>
      <c r="I88" s="6" t="s">
        <v>149</v>
      </c>
    </row>
    <row r="89" customFormat="false" ht="23.85" hidden="false" customHeight="false" outlineLevel="0" collapsed="false">
      <c r="A89" s="7" t="n">
        <v>88</v>
      </c>
      <c r="B89" s="6" t="s">
        <v>165</v>
      </c>
      <c r="C89" s="6" t="s">
        <v>207</v>
      </c>
      <c r="D89" s="16" t="s">
        <v>55</v>
      </c>
      <c r="E89" s="6"/>
      <c r="F89" s="18" t="s">
        <v>10</v>
      </c>
      <c r="G89" s="7"/>
      <c r="H89" s="6" t="s">
        <v>152</v>
      </c>
      <c r="I89" s="6"/>
    </row>
    <row r="90" customFormat="false" ht="23.85" hidden="false" customHeight="false" outlineLevel="0" collapsed="false">
      <c r="A90" s="7" t="n">
        <v>89</v>
      </c>
      <c r="B90" s="6" t="s">
        <v>165</v>
      </c>
      <c r="C90" s="6" t="s">
        <v>208</v>
      </c>
      <c r="D90" s="16" t="s">
        <v>55</v>
      </c>
      <c r="E90" s="6"/>
      <c r="F90" s="18" t="s">
        <v>10</v>
      </c>
      <c r="G90" s="7"/>
      <c r="H90" s="6" t="s">
        <v>152</v>
      </c>
      <c r="I90" s="6"/>
    </row>
  </sheetData>
  <autoFilter ref="A1:I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39.55" hidden="false" customHeight="fals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customFormat="false" ht="23.85" hidden="false" customHeight="false" outlineLevel="0" collapsed="false">
      <c r="A2" s="7" t="n">
        <v>1</v>
      </c>
      <c r="B2" s="6" t="s">
        <v>209</v>
      </c>
      <c r="C2" s="6" t="s">
        <v>210</v>
      </c>
      <c r="D2" s="16" t="s">
        <v>55</v>
      </c>
      <c r="E2" s="6"/>
      <c r="F2" s="20" t="s">
        <v>12</v>
      </c>
      <c r="G2" s="7"/>
      <c r="H2" s="6"/>
      <c r="I2" s="6" t="s">
        <v>56</v>
      </c>
    </row>
    <row r="3" customFormat="false" ht="23.85" hidden="false" customHeight="false" outlineLevel="0" collapsed="false">
      <c r="A3" s="7" t="n">
        <v>2</v>
      </c>
      <c r="B3" s="6" t="s">
        <v>211</v>
      </c>
      <c r="C3" s="6" t="s">
        <v>212</v>
      </c>
      <c r="D3" s="16" t="s">
        <v>55</v>
      </c>
      <c r="E3" s="6"/>
      <c r="F3" s="20" t="s">
        <v>12</v>
      </c>
      <c r="G3" s="7"/>
      <c r="H3" s="6"/>
      <c r="I3" s="6" t="s">
        <v>56</v>
      </c>
    </row>
    <row r="4" customFormat="false" ht="23.85" hidden="false" customHeight="false" outlineLevel="0" collapsed="false">
      <c r="A4" s="7" t="n">
        <v>3</v>
      </c>
      <c r="B4" s="6" t="s">
        <v>211</v>
      </c>
      <c r="C4" s="6" t="s">
        <v>213</v>
      </c>
      <c r="D4" s="16" t="s">
        <v>55</v>
      </c>
      <c r="E4" s="6"/>
      <c r="F4" s="20" t="s">
        <v>12</v>
      </c>
      <c r="G4" s="7"/>
      <c r="H4" s="6"/>
      <c r="I4" s="6" t="s">
        <v>56</v>
      </c>
    </row>
    <row r="5" customFormat="false" ht="23.85" hidden="false" customHeight="false" outlineLevel="0" collapsed="false">
      <c r="A5" s="7" t="n">
        <v>4</v>
      </c>
      <c r="B5" s="6" t="s">
        <v>211</v>
      </c>
      <c r="C5" s="6" t="s">
        <v>214</v>
      </c>
      <c r="D5" s="16" t="s">
        <v>55</v>
      </c>
      <c r="E5" s="6"/>
      <c r="F5" s="20" t="s">
        <v>12</v>
      </c>
      <c r="G5" s="7"/>
      <c r="H5" s="6"/>
      <c r="I5" s="6" t="s">
        <v>56</v>
      </c>
    </row>
    <row r="6" customFormat="false" ht="23.85" hidden="false" customHeight="false" outlineLevel="0" collapsed="false">
      <c r="A6" s="7" t="n">
        <v>5</v>
      </c>
      <c r="B6" s="6" t="s">
        <v>215</v>
      </c>
      <c r="C6" s="6" t="s">
        <v>216</v>
      </c>
      <c r="D6" s="16" t="s">
        <v>55</v>
      </c>
      <c r="E6" s="6"/>
      <c r="F6" s="20" t="s">
        <v>12</v>
      </c>
      <c r="G6" s="7"/>
      <c r="H6" s="6"/>
      <c r="I6" s="6" t="s">
        <v>56</v>
      </c>
    </row>
    <row r="7" customFormat="false" ht="23.85" hidden="false" customHeight="false" outlineLevel="0" collapsed="false">
      <c r="A7" s="7" t="n">
        <v>6</v>
      </c>
      <c r="B7" s="6" t="s">
        <v>215</v>
      </c>
      <c r="C7" s="6" t="s">
        <v>217</v>
      </c>
      <c r="D7" s="16" t="s">
        <v>55</v>
      </c>
      <c r="E7" s="6"/>
      <c r="F7" s="20" t="s">
        <v>12</v>
      </c>
      <c r="G7" s="7"/>
      <c r="H7" s="6"/>
      <c r="I7" s="6" t="s">
        <v>56</v>
      </c>
    </row>
    <row r="8" customFormat="false" ht="46.25" hidden="false" customHeight="false" outlineLevel="0" collapsed="false">
      <c r="A8" s="7" t="n">
        <v>7</v>
      </c>
      <c r="B8" s="6" t="s">
        <v>215</v>
      </c>
      <c r="C8" s="6" t="s">
        <v>218</v>
      </c>
      <c r="D8" s="16" t="s">
        <v>55</v>
      </c>
      <c r="E8" s="6" t="s">
        <v>219</v>
      </c>
      <c r="F8" s="20" t="s">
        <v>12</v>
      </c>
      <c r="G8" s="7"/>
      <c r="H8" s="6"/>
      <c r="I8" s="6" t="s">
        <v>56</v>
      </c>
    </row>
    <row r="9" customFormat="false" ht="23.85" hidden="false" customHeight="false" outlineLevel="0" collapsed="false">
      <c r="A9" s="7" t="n">
        <v>8</v>
      </c>
      <c r="B9" s="6" t="s">
        <v>220</v>
      </c>
      <c r="C9" s="6" t="s">
        <v>221</v>
      </c>
      <c r="D9" s="16" t="s">
        <v>55</v>
      </c>
      <c r="E9" s="6"/>
      <c r="F9" s="20" t="s">
        <v>12</v>
      </c>
      <c r="G9" s="7"/>
      <c r="H9" s="6"/>
      <c r="I9" s="6" t="s">
        <v>60</v>
      </c>
    </row>
    <row r="10" customFormat="false" ht="23.85" hidden="false" customHeight="false" outlineLevel="0" collapsed="false">
      <c r="A10" s="7" t="n">
        <v>9</v>
      </c>
      <c r="B10" s="6" t="s">
        <v>222</v>
      </c>
      <c r="C10" s="6" t="s">
        <v>223</v>
      </c>
      <c r="D10" s="16" t="s">
        <v>55</v>
      </c>
      <c r="E10" s="6"/>
      <c r="F10" s="20" t="s">
        <v>12</v>
      </c>
      <c r="G10" s="7"/>
      <c r="H10" s="6"/>
      <c r="I10" s="6" t="s">
        <v>224</v>
      </c>
    </row>
    <row r="11" customFormat="false" ht="23.85" hidden="false" customHeight="false" outlineLevel="0" collapsed="false">
      <c r="A11" s="7" t="n">
        <v>10</v>
      </c>
      <c r="B11" s="6" t="s">
        <v>220</v>
      </c>
      <c r="C11" s="6" t="s">
        <v>225</v>
      </c>
      <c r="D11" s="16" t="s">
        <v>55</v>
      </c>
      <c r="E11" s="6"/>
      <c r="F11" s="20" t="s">
        <v>12</v>
      </c>
      <c r="G11" s="7"/>
      <c r="H11" s="6"/>
      <c r="I11" s="6" t="s">
        <v>56</v>
      </c>
    </row>
    <row r="12" customFormat="false" ht="23.85" hidden="false" customHeight="false" outlineLevel="0" collapsed="false">
      <c r="A12" s="7" t="n">
        <v>11</v>
      </c>
      <c r="B12" s="6" t="s">
        <v>226</v>
      </c>
      <c r="C12" s="6" t="s">
        <v>227</v>
      </c>
      <c r="D12" s="16" t="s">
        <v>55</v>
      </c>
      <c r="E12" s="6"/>
      <c r="F12" s="20" t="s">
        <v>12</v>
      </c>
      <c r="G12" s="7"/>
      <c r="H12" s="6"/>
      <c r="I12" s="6" t="s">
        <v>56</v>
      </c>
    </row>
    <row r="13" customFormat="false" ht="23.85" hidden="false" customHeight="false" outlineLevel="0" collapsed="false">
      <c r="A13" s="7" t="n">
        <v>12</v>
      </c>
      <c r="B13" s="6" t="s">
        <v>226</v>
      </c>
      <c r="C13" s="6" t="s">
        <v>228</v>
      </c>
      <c r="D13" s="16" t="s">
        <v>55</v>
      </c>
      <c r="E13" s="6"/>
      <c r="F13" s="20" t="s">
        <v>12</v>
      </c>
      <c r="G13" s="7"/>
      <c r="H13" s="6"/>
      <c r="I13" s="6" t="s">
        <v>56</v>
      </c>
    </row>
    <row r="14" customFormat="false" ht="23.85" hidden="false" customHeight="false" outlineLevel="0" collapsed="false">
      <c r="A14" s="7" t="n">
        <v>13</v>
      </c>
      <c r="B14" s="6" t="s">
        <v>229</v>
      </c>
      <c r="C14" s="6" t="s">
        <v>230</v>
      </c>
      <c r="D14" s="16" t="s">
        <v>55</v>
      </c>
      <c r="E14" s="6"/>
      <c r="F14" s="20" t="s">
        <v>12</v>
      </c>
      <c r="G14" s="7"/>
      <c r="H14" s="6"/>
      <c r="I14" s="6" t="s">
        <v>69</v>
      </c>
    </row>
    <row r="15" customFormat="false" ht="23.85" hidden="false" customHeight="false" outlineLevel="0" collapsed="false">
      <c r="A15" s="7" t="n">
        <v>14</v>
      </c>
      <c r="B15" s="6" t="s">
        <v>229</v>
      </c>
      <c r="C15" s="6" t="s">
        <v>231</v>
      </c>
      <c r="D15" s="16" t="s">
        <v>55</v>
      </c>
      <c r="E15" s="6"/>
      <c r="F15" s="20" t="s">
        <v>12</v>
      </c>
      <c r="G15" s="7"/>
      <c r="H15" s="6"/>
      <c r="I15" s="6" t="s">
        <v>69</v>
      </c>
    </row>
    <row r="16" customFormat="false" ht="23.85" hidden="false" customHeight="false" outlineLevel="0" collapsed="false">
      <c r="A16" s="7" t="n">
        <v>15</v>
      </c>
      <c r="B16" s="6" t="s">
        <v>229</v>
      </c>
      <c r="C16" s="6" t="s">
        <v>232</v>
      </c>
      <c r="D16" s="16" t="s">
        <v>55</v>
      </c>
      <c r="E16" s="6"/>
      <c r="F16" s="20" t="s">
        <v>12</v>
      </c>
      <c r="G16" s="7"/>
      <c r="H16" s="6"/>
      <c r="I16" s="6" t="s">
        <v>69</v>
      </c>
    </row>
    <row r="17" customFormat="false" ht="23.85" hidden="false" customHeight="false" outlineLevel="0" collapsed="false">
      <c r="A17" s="7" t="n">
        <v>16</v>
      </c>
      <c r="B17" s="6" t="s">
        <v>229</v>
      </c>
      <c r="C17" s="6" t="s">
        <v>233</v>
      </c>
      <c r="D17" s="16" t="s">
        <v>55</v>
      </c>
      <c r="E17" s="6"/>
      <c r="F17" s="20" t="s">
        <v>12</v>
      </c>
      <c r="G17" s="7"/>
      <c r="H17" s="6"/>
      <c r="I17" s="6" t="s">
        <v>69</v>
      </c>
    </row>
    <row r="18" customFormat="false" ht="23.85" hidden="false" customHeight="false" outlineLevel="0" collapsed="false">
      <c r="A18" s="7" t="n">
        <v>17</v>
      </c>
      <c r="B18" s="6" t="s">
        <v>234</v>
      </c>
      <c r="C18" s="6" t="s">
        <v>235</v>
      </c>
      <c r="D18" s="16" t="s">
        <v>55</v>
      </c>
      <c r="E18" s="6"/>
      <c r="F18" s="20" t="s">
        <v>12</v>
      </c>
      <c r="G18" s="7"/>
      <c r="H18" s="6"/>
      <c r="I18" s="6" t="s">
        <v>236</v>
      </c>
    </row>
    <row r="19" customFormat="false" ht="23.85" hidden="false" customHeight="false" outlineLevel="0" collapsed="false">
      <c r="A19" s="7" t="n">
        <v>18</v>
      </c>
      <c r="B19" s="6" t="s">
        <v>234</v>
      </c>
      <c r="C19" s="6" t="s">
        <v>237</v>
      </c>
      <c r="D19" s="16" t="s">
        <v>55</v>
      </c>
      <c r="E19" s="6"/>
      <c r="F19" s="20" t="s">
        <v>12</v>
      </c>
      <c r="G19" s="7"/>
      <c r="H19" s="6"/>
      <c r="I19" s="6" t="s">
        <v>238</v>
      </c>
    </row>
    <row r="20" customFormat="false" ht="23.85" hidden="false" customHeight="false" outlineLevel="0" collapsed="false">
      <c r="A20" s="7" t="n">
        <v>19</v>
      </c>
      <c r="B20" s="6" t="s">
        <v>239</v>
      </c>
      <c r="C20" s="6" t="s">
        <v>240</v>
      </c>
      <c r="D20" s="16" t="s">
        <v>55</v>
      </c>
      <c r="E20" s="6"/>
      <c r="F20" s="20" t="s">
        <v>12</v>
      </c>
      <c r="G20" s="7"/>
      <c r="H20" s="6"/>
      <c r="I20" s="6" t="s">
        <v>241</v>
      </c>
    </row>
    <row r="21" customFormat="false" ht="23.85" hidden="false" customHeight="false" outlineLevel="0" collapsed="false">
      <c r="A21" s="7" t="n">
        <v>20</v>
      </c>
      <c r="B21" s="6" t="s">
        <v>239</v>
      </c>
      <c r="C21" s="6" t="s">
        <v>242</v>
      </c>
      <c r="D21" s="16" t="s">
        <v>55</v>
      </c>
      <c r="E21" s="6"/>
      <c r="F21" s="20" t="s">
        <v>12</v>
      </c>
      <c r="G21" s="7"/>
      <c r="H21" s="6"/>
      <c r="I21" s="6" t="s">
        <v>241</v>
      </c>
    </row>
    <row r="22" customFormat="false" ht="23.85" hidden="false" customHeight="false" outlineLevel="0" collapsed="false">
      <c r="A22" s="7" t="n">
        <v>21</v>
      </c>
      <c r="B22" s="6" t="s">
        <v>239</v>
      </c>
      <c r="C22" s="6" t="s">
        <v>243</v>
      </c>
      <c r="D22" s="16" t="s">
        <v>55</v>
      </c>
      <c r="E22" s="6"/>
      <c r="F22" s="20" t="s">
        <v>12</v>
      </c>
      <c r="G22" s="7"/>
      <c r="H22" s="6"/>
      <c r="I22" s="6" t="s">
        <v>241</v>
      </c>
    </row>
    <row r="23" customFormat="false" ht="23.85" hidden="false" customHeight="false" outlineLevel="0" collapsed="false">
      <c r="A23" s="7" t="n">
        <v>22</v>
      </c>
      <c r="B23" s="6" t="s">
        <v>244</v>
      </c>
      <c r="C23" s="6" t="s">
        <v>245</v>
      </c>
      <c r="D23" s="16" t="s">
        <v>55</v>
      </c>
      <c r="E23" s="6"/>
      <c r="F23" s="20" t="s">
        <v>12</v>
      </c>
      <c r="G23" s="7"/>
      <c r="H23" s="6"/>
      <c r="I23" s="6" t="s">
        <v>246</v>
      </c>
    </row>
    <row r="24" customFormat="false" ht="23.85" hidden="false" customHeight="false" outlineLevel="0" collapsed="false">
      <c r="A24" s="7" t="n">
        <v>23</v>
      </c>
      <c r="B24" s="6" t="s">
        <v>247</v>
      </c>
      <c r="C24" s="6" t="s">
        <v>248</v>
      </c>
      <c r="D24" s="16" t="s">
        <v>55</v>
      </c>
      <c r="E24" s="6"/>
      <c r="F24" s="20" t="s">
        <v>12</v>
      </c>
      <c r="G24" s="7"/>
      <c r="H24" s="6"/>
      <c r="I24" s="6" t="s">
        <v>60</v>
      </c>
    </row>
    <row r="25" customFormat="false" ht="23.85" hidden="false" customHeight="false" outlineLevel="0" collapsed="false">
      <c r="A25" s="7" t="n">
        <v>24</v>
      </c>
      <c r="B25" s="6" t="s">
        <v>247</v>
      </c>
      <c r="C25" s="6" t="s">
        <v>249</v>
      </c>
      <c r="D25" s="16" t="s">
        <v>55</v>
      </c>
      <c r="E25" s="6"/>
      <c r="F25" s="20" t="s">
        <v>12</v>
      </c>
      <c r="G25" s="7"/>
      <c r="H25" s="6"/>
      <c r="I25" s="6" t="s">
        <v>60</v>
      </c>
    </row>
    <row r="26" customFormat="false" ht="23.85" hidden="false" customHeight="false" outlineLevel="0" collapsed="false">
      <c r="A26" s="7" t="n">
        <v>25</v>
      </c>
      <c r="B26" s="6" t="s">
        <v>250</v>
      </c>
      <c r="C26" s="6" t="s">
        <v>251</v>
      </c>
      <c r="D26" s="16" t="s">
        <v>55</v>
      </c>
      <c r="E26" s="6"/>
      <c r="F26" s="20" t="s">
        <v>12</v>
      </c>
      <c r="G26" s="7"/>
      <c r="H26" s="6"/>
      <c r="I26" s="6" t="s">
        <v>252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39.55" hidden="false" customHeight="fals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customFormat="false" ht="23.85" hidden="false" customHeight="false" outlineLevel="0" collapsed="false">
      <c r="A2" s="7" t="n">
        <v>1</v>
      </c>
      <c r="B2" s="6" t="s">
        <v>253</v>
      </c>
      <c r="C2" s="6" t="s">
        <v>254</v>
      </c>
      <c r="D2" s="16" t="s">
        <v>55</v>
      </c>
      <c r="E2" s="6"/>
      <c r="F2" s="20" t="s">
        <v>12</v>
      </c>
      <c r="G2" s="7"/>
      <c r="H2" s="6"/>
      <c r="I2" s="6" t="s">
        <v>79</v>
      </c>
    </row>
    <row r="3" customFormat="false" ht="15" hidden="false" customHeight="false" outlineLevel="0" collapsed="false">
      <c r="A3" s="7" t="n">
        <v>2</v>
      </c>
      <c r="B3" s="6" t="s">
        <v>253</v>
      </c>
      <c r="C3" s="6" t="s">
        <v>255</v>
      </c>
      <c r="D3" s="16" t="s">
        <v>55</v>
      </c>
      <c r="E3" s="6"/>
      <c r="F3" s="20" t="s">
        <v>12</v>
      </c>
      <c r="G3" s="7"/>
      <c r="H3" s="6"/>
      <c r="I3" s="6" t="s">
        <v>246</v>
      </c>
    </row>
    <row r="4" customFormat="false" ht="15" hidden="false" customHeight="false" outlineLevel="0" collapsed="false">
      <c r="A4" s="7" t="n">
        <v>3</v>
      </c>
      <c r="B4" s="6" t="s">
        <v>253</v>
      </c>
      <c r="C4" s="6" t="s">
        <v>256</v>
      </c>
      <c r="D4" s="16" t="s">
        <v>55</v>
      </c>
      <c r="E4" s="6"/>
      <c r="F4" s="20" t="s">
        <v>12</v>
      </c>
      <c r="G4" s="7"/>
      <c r="H4" s="6"/>
      <c r="I4" s="6" t="s">
        <v>246</v>
      </c>
    </row>
    <row r="5" customFormat="false" ht="15" hidden="false" customHeight="false" outlineLevel="0" collapsed="false">
      <c r="A5" s="7" t="n">
        <v>4</v>
      </c>
      <c r="B5" s="6" t="s">
        <v>125</v>
      </c>
      <c r="C5" s="6" t="s">
        <v>257</v>
      </c>
      <c r="D5" s="16" t="s">
        <v>55</v>
      </c>
      <c r="E5" s="6"/>
      <c r="F5" s="16" t="s">
        <v>8</v>
      </c>
      <c r="G5" s="7" t="s">
        <v>86</v>
      </c>
      <c r="H5" s="6"/>
      <c r="I5" s="6"/>
    </row>
    <row r="6" customFormat="false" ht="15" hidden="false" customHeight="false" outlineLevel="0" collapsed="false">
      <c r="A6" s="7" t="n">
        <v>5</v>
      </c>
      <c r="B6" s="6" t="s">
        <v>125</v>
      </c>
      <c r="C6" s="6" t="s">
        <v>258</v>
      </c>
      <c r="D6" s="16" t="s">
        <v>55</v>
      </c>
      <c r="E6" s="6"/>
      <c r="F6" s="16" t="s">
        <v>8</v>
      </c>
      <c r="G6" s="7" t="s">
        <v>259</v>
      </c>
      <c r="H6" s="6"/>
      <c r="I6" s="6"/>
    </row>
    <row r="7" customFormat="false" ht="15" hidden="false" customHeight="false" outlineLevel="0" collapsed="false">
      <c r="A7" s="7" t="n">
        <v>6</v>
      </c>
      <c r="B7" s="6" t="s">
        <v>125</v>
      </c>
      <c r="C7" s="6" t="s">
        <v>260</v>
      </c>
      <c r="D7" s="16" t="s">
        <v>55</v>
      </c>
      <c r="E7" s="6"/>
      <c r="F7" s="16" t="s">
        <v>8</v>
      </c>
      <c r="G7" s="7" t="s">
        <v>127</v>
      </c>
      <c r="H7" s="6"/>
      <c r="I7" s="6"/>
    </row>
    <row r="8" customFormat="false" ht="15" hidden="false" customHeight="false" outlineLevel="0" collapsed="false">
      <c r="A8" s="7" t="n">
        <v>7</v>
      </c>
      <c r="B8" s="6" t="s">
        <v>125</v>
      </c>
      <c r="C8" s="6" t="s">
        <v>261</v>
      </c>
      <c r="D8" s="16" t="s">
        <v>55</v>
      </c>
      <c r="E8" s="6"/>
      <c r="F8" s="16" t="s">
        <v>8</v>
      </c>
      <c r="G8" s="7" t="s">
        <v>262</v>
      </c>
      <c r="H8" s="6"/>
      <c r="I8" s="6"/>
    </row>
    <row r="9" customFormat="false" ht="15" hidden="false" customHeight="false" outlineLevel="0" collapsed="false">
      <c r="A9" s="7" t="n">
        <v>8</v>
      </c>
      <c r="B9" s="6" t="s">
        <v>125</v>
      </c>
      <c r="C9" s="6" t="s">
        <v>263</v>
      </c>
      <c r="D9" s="16" t="s">
        <v>55</v>
      </c>
      <c r="E9" s="6"/>
      <c r="F9" s="16" t="s">
        <v>8</v>
      </c>
      <c r="G9" s="7" t="s">
        <v>127</v>
      </c>
      <c r="H9" s="6"/>
      <c r="I9" s="6"/>
    </row>
    <row r="10" customFormat="false" ht="15" hidden="false" customHeight="false" outlineLevel="0" collapsed="false">
      <c r="A10" s="7" t="n">
        <v>9</v>
      </c>
      <c r="B10" s="6" t="s">
        <v>125</v>
      </c>
      <c r="C10" s="6" t="s">
        <v>264</v>
      </c>
      <c r="D10" s="16" t="s">
        <v>55</v>
      </c>
      <c r="E10" s="6"/>
      <c r="F10" s="18" t="s">
        <v>10</v>
      </c>
      <c r="G10" s="7"/>
      <c r="H10" s="6" t="s">
        <v>265</v>
      </c>
      <c r="I10" s="6"/>
    </row>
    <row r="11" customFormat="false" ht="15" hidden="false" customHeight="false" outlineLevel="0" collapsed="false">
      <c r="A11" s="7" t="n">
        <v>10</v>
      </c>
      <c r="B11" s="6" t="s">
        <v>125</v>
      </c>
      <c r="C11" s="6" t="s">
        <v>266</v>
      </c>
      <c r="D11" s="16" t="s">
        <v>55</v>
      </c>
      <c r="E11" s="6"/>
      <c r="F11" s="16" t="s">
        <v>8</v>
      </c>
      <c r="G11" s="7" t="s">
        <v>127</v>
      </c>
      <c r="H11" s="6"/>
      <c r="I11" s="6"/>
    </row>
    <row r="12" customFormat="false" ht="15" hidden="false" customHeight="false" outlineLevel="0" collapsed="false">
      <c r="A12" s="7" t="n">
        <v>11</v>
      </c>
      <c r="B12" s="6" t="s">
        <v>267</v>
      </c>
      <c r="C12" s="6" t="s">
        <v>268</v>
      </c>
      <c r="D12" s="16" t="s">
        <v>55</v>
      </c>
      <c r="E12" s="6"/>
      <c r="F12" s="16" t="s">
        <v>8</v>
      </c>
      <c r="G12" s="7" t="s">
        <v>97</v>
      </c>
      <c r="H12" s="6"/>
      <c r="I12" s="6"/>
    </row>
    <row r="13" customFormat="false" ht="15" hidden="false" customHeight="false" outlineLevel="0" collapsed="false">
      <c r="A13" s="7" t="n">
        <v>12</v>
      </c>
      <c r="B13" s="6" t="s">
        <v>267</v>
      </c>
      <c r="C13" s="6" t="s">
        <v>269</v>
      </c>
      <c r="D13" s="16" t="s">
        <v>55</v>
      </c>
      <c r="E13" s="6"/>
      <c r="F13" s="16" t="s">
        <v>8</v>
      </c>
      <c r="G13" s="7" t="s">
        <v>97</v>
      </c>
      <c r="H13" s="6"/>
      <c r="I13" s="6"/>
    </row>
    <row r="14" customFormat="false" ht="15" hidden="false" customHeight="false" outlineLevel="0" collapsed="false">
      <c r="A14" s="7" t="n">
        <v>13</v>
      </c>
      <c r="B14" s="6" t="s">
        <v>267</v>
      </c>
      <c r="C14" s="6" t="s">
        <v>270</v>
      </c>
      <c r="D14" s="16" t="s">
        <v>55</v>
      </c>
      <c r="E14" s="6"/>
      <c r="F14" s="16" t="s">
        <v>8</v>
      </c>
      <c r="G14" s="7" t="s">
        <v>271</v>
      </c>
      <c r="H14" s="6"/>
      <c r="I14" s="6"/>
    </row>
    <row r="15" customFormat="false" ht="15" hidden="false" customHeight="false" outlineLevel="0" collapsed="false">
      <c r="A15" s="7" t="n">
        <v>14</v>
      </c>
      <c r="B15" s="6" t="s">
        <v>267</v>
      </c>
      <c r="C15" s="6" t="s">
        <v>272</v>
      </c>
      <c r="D15" s="16" t="s">
        <v>55</v>
      </c>
      <c r="E15" s="6"/>
      <c r="F15" s="17" t="s">
        <v>9</v>
      </c>
      <c r="G15" s="7" t="s">
        <v>273</v>
      </c>
      <c r="H15" s="6"/>
      <c r="I15" s="6" t="s">
        <v>274</v>
      </c>
    </row>
    <row r="16" customFormat="false" ht="15" hidden="false" customHeight="false" outlineLevel="0" collapsed="false">
      <c r="A16" s="7" t="n">
        <v>15</v>
      </c>
      <c r="B16" s="6" t="s">
        <v>267</v>
      </c>
      <c r="C16" s="6" t="s">
        <v>275</v>
      </c>
      <c r="D16" s="16" t="s">
        <v>55</v>
      </c>
      <c r="E16" s="6"/>
      <c r="F16" s="16" t="s">
        <v>8</v>
      </c>
      <c r="G16" s="7" t="s">
        <v>273</v>
      </c>
      <c r="H16" s="6"/>
      <c r="I16" s="6"/>
    </row>
    <row r="17" customFormat="false" ht="15" hidden="false" customHeight="false" outlineLevel="0" collapsed="false">
      <c r="A17" s="7" t="n">
        <v>16</v>
      </c>
      <c r="B17" s="6" t="s">
        <v>267</v>
      </c>
      <c r="C17" s="6" t="s">
        <v>276</v>
      </c>
      <c r="D17" s="16" t="s">
        <v>55</v>
      </c>
      <c r="E17" s="6"/>
      <c r="F17" s="18" t="s">
        <v>10</v>
      </c>
      <c r="G17" s="7"/>
      <c r="H17" s="6" t="s">
        <v>277</v>
      </c>
      <c r="I17" s="6"/>
    </row>
    <row r="18" customFormat="false" ht="15" hidden="false" customHeight="false" outlineLevel="0" collapsed="false">
      <c r="A18" s="7" t="n">
        <v>17</v>
      </c>
      <c r="B18" s="6" t="s">
        <v>267</v>
      </c>
      <c r="C18" s="6" t="s">
        <v>278</v>
      </c>
      <c r="D18" s="16" t="s">
        <v>55</v>
      </c>
      <c r="E18" s="6"/>
      <c r="F18" s="18" t="s">
        <v>10</v>
      </c>
      <c r="G18" s="7"/>
      <c r="H18" s="6" t="s">
        <v>277</v>
      </c>
      <c r="I18" s="6"/>
    </row>
    <row r="19" customFormat="false" ht="15" hidden="false" customHeight="false" outlineLevel="0" collapsed="false">
      <c r="A19" s="7" t="n">
        <v>18</v>
      </c>
      <c r="B19" s="6" t="s">
        <v>267</v>
      </c>
      <c r="C19" s="6" t="s">
        <v>279</v>
      </c>
      <c r="D19" s="16" t="s">
        <v>55</v>
      </c>
      <c r="E19" s="6"/>
      <c r="F19" s="18" t="s">
        <v>10</v>
      </c>
      <c r="G19" s="7"/>
      <c r="H19" s="6" t="s">
        <v>280</v>
      </c>
      <c r="I19" s="6"/>
    </row>
    <row r="20" customFormat="false" ht="15" hidden="false" customHeight="false" outlineLevel="0" collapsed="false">
      <c r="A20" s="7" t="n">
        <v>19</v>
      </c>
      <c r="B20" s="6" t="s">
        <v>132</v>
      </c>
      <c r="C20" s="6" t="s">
        <v>281</v>
      </c>
      <c r="D20" s="16" t="s">
        <v>55</v>
      </c>
      <c r="E20" s="6"/>
      <c r="F20" s="17" t="s">
        <v>9</v>
      </c>
      <c r="G20" s="7" t="s">
        <v>99</v>
      </c>
      <c r="H20" s="6"/>
      <c r="I20" s="6" t="s">
        <v>282</v>
      </c>
    </row>
    <row r="21" customFormat="false" ht="15" hidden="false" customHeight="false" outlineLevel="0" collapsed="false">
      <c r="A21" s="7" t="n">
        <v>20</v>
      </c>
      <c r="B21" s="6" t="s">
        <v>132</v>
      </c>
      <c r="C21" s="6" t="s">
        <v>283</v>
      </c>
      <c r="D21" s="16" t="s">
        <v>55</v>
      </c>
      <c r="E21" s="6"/>
      <c r="F21" s="17" t="s">
        <v>9</v>
      </c>
      <c r="G21" s="7" t="s">
        <v>99</v>
      </c>
      <c r="H21" s="6"/>
      <c r="I21" s="6" t="s">
        <v>284</v>
      </c>
    </row>
    <row r="22" customFormat="false" ht="15" hidden="false" customHeight="false" outlineLevel="0" collapsed="false">
      <c r="A22" s="7" t="n">
        <v>21</v>
      </c>
      <c r="B22" s="6" t="s">
        <v>132</v>
      </c>
      <c r="C22" s="6" t="s">
        <v>285</v>
      </c>
      <c r="D22" s="16" t="s">
        <v>55</v>
      </c>
      <c r="E22" s="6"/>
      <c r="F22" s="16" t="s">
        <v>8</v>
      </c>
      <c r="G22" s="7" t="s">
        <v>89</v>
      </c>
      <c r="H22" s="6"/>
      <c r="I22" s="6"/>
    </row>
    <row r="23" customFormat="false" ht="15" hidden="false" customHeight="false" outlineLevel="0" collapsed="false">
      <c r="A23" s="7" t="n">
        <v>22</v>
      </c>
      <c r="B23" s="6" t="s">
        <v>132</v>
      </c>
      <c r="C23" s="6" t="s">
        <v>286</v>
      </c>
      <c r="D23" s="16" t="s">
        <v>55</v>
      </c>
      <c r="E23" s="6"/>
      <c r="F23" s="16" t="s">
        <v>8</v>
      </c>
      <c r="G23" s="7" t="s">
        <v>99</v>
      </c>
      <c r="H23" s="6"/>
      <c r="I23" s="6"/>
    </row>
    <row r="24" customFormat="false" ht="15" hidden="false" customHeight="false" outlineLevel="0" collapsed="false">
      <c r="A24" s="7" t="n">
        <v>23</v>
      </c>
      <c r="B24" s="6" t="s">
        <v>287</v>
      </c>
      <c r="C24" s="6" t="s">
        <v>288</v>
      </c>
      <c r="D24" s="16" t="s">
        <v>55</v>
      </c>
      <c r="E24" s="6"/>
      <c r="F24" s="18" t="s">
        <v>10</v>
      </c>
      <c r="G24" s="7"/>
      <c r="H24" s="6" t="s">
        <v>289</v>
      </c>
      <c r="I24" s="6"/>
    </row>
    <row r="25" customFormat="false" ht="15" hidden="false" customHeight="false" outlineLevel="0" collapsed="false">
      <c r="A25" s="7" t="n">
        <v>24</v>
      </c>
      <c r="B25" s="6" t="s">
        <v>287</v>
      </c>
      <c r="C25" s="6" t="s">
        <v>290</v>
      </c>
      <c r="D25" s="16" t="s">
        <v>55</v>
      </c>
      <c r="E25" s="6"/>
      <c r="F25" s="18" t="s">
        <v>10</v>
      </c>
      <c r="G25" s="7"/>
      <c r="H25" s="6" t="s">
        <v>289</v>
      </c>
      <c r="I25" s="6"/>
    </row>
    <row r="26" customFormat="false" ht="15" hidden="false" customHeight="false" outlineLevel="0" collapsed="false">
      <c r="A26" s="7" t="n">
        <v>25</v>
      </c>
      <c r="B26" s="6" t="s">
        <v>287</v>
      </c>
      <c r="C26" s="6" t="s">
        <v>291</v>
      </c>
      <c r="D26" s="16" t="s">
        <v>55</v>
      </c>
      <c r="E26" s="6"/>
      <c r="F26" s="18" t="s">
        <v>10</v>
      </c>
      <c r="G26" s="7"/>
      <c r="H26" s="6" t="s">
        <v>289</v>
      </c>
      <c r="I26" s="6"/>
    </row>
    <row r="27" customFormat="false" ht="15" hidden="false" customHeight="false" outlineLevel="0" collapsed="false">
      <c r="A27" s="7" t="n">
        <v>26</v>
      </c>
      <c r="B27" s="6" t="s">
        <v>287</v>
      </c>
      <c r="C27" s="6" t="s">
        <v>292</v>
      </c>
      <c r="D27" s="16" t="s">
        <v>55</v>
      </c>
      <c r="E27" s="6"/>
      <c r="F27" s="18" t="s">
        <v>10</v>
      </c>
      <c r="G27" s="7"/>
      <c r="H27" s="6" t="s">
        <v>280</v>
      </c>
      <c r="I27" s="6"/>
    </row>
    <row r="28" customFormat="false" ht="15" hidden="false" customHeight="false" outlineLevel="0" collapsed="false">
      <c r="A28" s="7" t="n">
        <v>27</v>
      </c>
      <c r="B28" s="6" t="s">
        <v>287</v>
      </c>
      <c r="C28" s="6" t="s">
        <v>293</v>
      </c>
      <c r="D28" s="16" t="s">
        <v>55</v>
      </c>
      <c r="E28" s="6"/>
      <c r="F28" s="18" t="s">
        <v>10</v>
      </c>
      <c r="G28" s="7"/>
      <c r="H28" s="6" t="s">
        <v>289</v>
      </c>
      <c r="I28" s="6"/>
    </row>
    <row r="29" customFormat="false" ht="15" hidden="false" customHeight="false" outlineLevel="0" collapsed="false">
      <c r="A29" s="7" t="n">
        <v>28</v>
      </c>
      <c r="B29" s="6" t="s">
        <v>287</v>
      </c>
      <c r="C29" s="6" t="s">
        <v>294</v>
      </c>
      <c r="D29" s="16" t="s">
        <v>55</v>
      </c>
      <c r="E29" s="6"/>
      <c r="F29" s="18" t="s">
        <v>10</v>
      </c>
      <c r="G29" s="7"/>
      <c r="H29" s="6" t="s">
        <v>280</v>
      </c>
      <c r="I29" s="6"/>
    </row>
    <row r="30" customFormat="false" ht="15" hidden="false" customHeight="false" outlineLevel="0" collapsed="false">
      <c r="A30" s="7" t="n">
        <v>29</v>
      </c>
      <c r="B30" s="6" t="s">
        <v>295</v>
      </c>
      <c r="C30" s="6" t="s">
        <v>296</v>
      </c>
      <c r="D30" s="16" t="s">
        <v>55</v>
      </c>
      <c r="E30" s="6"/>
      <c r="F30" s="18" t="s">
        <v>10</v>
      </c>
      <c r="G30" s="7"/>
      <c r="H30" s="6" t="s">
        <v>297</v>
      </c>
      <c r="I30" s="6"/>
    </row>
    <row r="31" customFormat="false" ht="15" hidden="false" customHeight="false" outlineLevel="0" collapsed="false">
      <c r="A31" s="7" t="n">
        <v>30</v>
      </c>
      <c r="B31" s="6" t="s">
        <v>295</v>
      </c>
      <c r="C31" s="6" t="s">
        <v>298</v>
      </c>
      <c r="D31" s="16" t="s">
        <v>55</v>
      </c>
      <c r="E31" s="6"/>
      <c r="F31" s="18" t="s">
        <v>10</v>
      </c>
      <c r="G31" s="7"/>
      <c r="H31" s="6" t="s">
        <v>297</v>
      </c>
      <c r="I31" s="6"/>
    </row>
    <row r="32" customFormat="false" ht="15" hidden="false" customHeight="false" outlineLevel="0" collapsed="false">
      <c r="A32" s="7" t="n">
        <v>31</v>
      </c>
      <c r="B32" s="6" t="s">
        <v>295</v>
      </c>
      <c r="C32" s="6" t="s">
        <v>299</v>
      </c>
      <c r="D32" s="16" t="s">
        <v>55</v>
      </c>
      <c r="E32" s="6"/>
      <c r="F32" s="18" t="s">
        <v>10</v>
      </c>
      <c r="G32" s="7"/>
      <c r="H32" s="6" t="s">
        <v>297</v>
      </c>
      <c r="I32" s="6"/>
    </row>
    <row r="33" customFormat="false" ht="15" hidden="false" customHeight="false" outlineLevel="0" collapsed="false">
      <c r="A33" s="7" t="n">
        <v>32</v>
      </c>
      <c r="B33" s="6" t="s">
        <v>141</v>
      </c>
      <c r="C33" s="6" t="s">
        <v>300</v>
      </c>
      <c r="D33" s="16" t="s">
        <v>55</v>
      </c>
      <c r="E33" s="6"/>
      <c r="F33" s="16" t="s">
        <v>8</v>
      </c>
      <c r="G33" s="7" t="s">
        <v>101</v>
      </c>
      <c r="H33" s="6"/>
      <c r="I33" s="6"/>
    </row>
    <row r="34" customFormat="false" ht="15" hidden="false" customHeight="false" outlineLevel="0" collapsed="false">
      <c r="A34" s="7" t="n">
        <v>33</v>
      </c>
      <c r="B34" s="6" t="s">
        <v>141</v>
      </c>
      <c r="C34" s="6" t="s">
        <v>301</v>
      </c>
      <c r="D34" s="16" t="s">
        <v>55</v>
      </c>
      <c r="E34" s="6"/>
      <c r="F34" s="16" t="s">
        <v>8</v>
      </c>
      <c r="G34" s="7" t="s">
        <v>103</v>
      </c>
      <c r="H34" s="6"/>
      <c r="I34" s="6"/>
    </row>
    <row r="35" customFormat="false" ht="15" hidden="false" customHeight="false" outlineLevel="0" collapsed="false">
      <c r="A35" s="7" t="n">
        <v>34</v>
      </c>
      <c r="B35" s="6" t="s">
        <v>141</v>
      </c>
      <c r="C35" s="6" t="s">
        <v>302</v>
      </c>
      <c r="D35" s="16" t="s">
        <v>55</v>
      </c>
      <c r="E35" s="6"/>
      <c r="F35" s="18" t="s">
        <v>10</v>
      </c>
      <c r="G35" s="7"/>
      <c r="H35" s="6" t="s">
        <v>277</v>
      </c>
      <c r="I35" s="6"/>
    </row>
    <row r="36" customFormat="false" ht="15" hidden="false" customHeight="false" outlineLevel="0" collapsed="false">
      <c r="A36" s="7" t="n">
        <v>35</v>
      </c>
      <c r="B36" s="6" t="s">
        <v>141</v>
      </c>
      <c r="C36" s="6" t="s">
        <v>303</v>
      </c>
      <c r="D36" s="16" t="s">
        <v>55</v>
      </c>
      <c r="E36" s="6"/>
      <c r="F36" s="18" t="s">
        <v>10</v>
      </c>
      <c r="G36" s="7"/>
      <c r="H36" s="6" t="s">
        <v>277</v>
      </c>
      <c r="I36" s="6"/>
    </row>
    <row r="37" customFormat="false" ht="15" hidden="false" customHeight="false" outlineLevel="0" collapsed="false">
      <c r="A37" s="7" t="n">
        <v>36</v>
      </c>
      <c r="B37" s="6" t="s">
        <v>141</v>
      </c>
      <c r="C37" s="6" t="s">
        <v>304</v>
      </c>
      <c r="D37" s="16" t="s">
        <v>55</v>
      </c>
      <c r="E37" s="6"/>
      <c r="F37" s="17" t="s">
        <v>9</v>
      </c>
      <c r="G37" s="7" t="s">
        <v>105</v>
      </c>
      <c r="H37" s="6"/>
      <c r="I37" s="6" t="s">
        <v>305</v>
      </c>
    </row>
    <row r="38" customFormat="false" ht="15" hidden="false" customHeight="false" outlineLevel="0" collapsed="false">
      <c r="A38" s="7" t="n">
        <v>37</v>
      </c>
      <c r="B38" s="6" t="s">
        <v>141</v>
      </c>
      <c r="C38" s="6" t="s">
        <v>306</v>
      </c>
      <c r="D38" s="16" t="s">
        <v>55</v>
      </c>
      <c r="E38" s="6"/>
      <c r="F38" s="17" t="s">
        <v>9</v>
      </c>
      <c r="G38" s="7" t="s">
        <v>105</v>
      </c>
      <c r="H38" s="6"/>
      <c r="I38" s="6" t="s">
        <v>305</v>
      </c>
    </row>
    <row r="39" customFormat="false" ht="15" hidden="false" customHeight="false" outlineLevel="0" collapsed="false">
      <c r="A39" s="7" t="n">
        <v>38</v>
      </c>
      <c r="B39" s="6" t="s">
        <v>141</v>
      </c>
      <c r="C39" s="6" t="s">
        <v>307</v>
      </c>
      <c r="D39" s="16" t="s">
        <v>55</v>
      </c>
      <c r="E39" s="6"/>
      <c r="F39" s="18" t="s">
        <v>10</v>
      </c>
      <c r="G39" s="7"/>
      <c r="H39" s="6" t="s">
        <v>280</v>
      </c>
      <c r="I39" s="6" t="s">
        <v>308</v>
      </c>
    </row>
    <row r="40" customFormat="false" ht="15" hidden="false" customHeight="false" outlineLevel="0" collapsed="false">
      <c r="A40" s="7" t="n">
        <v>39</v>
      </c>
      <c r="B40" s="6" t="s">
        <v>309</v>
      </c>
      <c r="C40" s="6" t="s">
        <v>310</v>
      </c>
      <c r="D40" s="16" t="s">
        <v>55</v>
      </c>
      <c r="E40" s="6"/>
      <c r="F40" s="17" t="s">
        <v>9</v>
      </c>
      <c r="G40" s="7" t="s">
        <v>311</v>
      </c>
      <c r="H40" s="6"/>
      <c r="I40" s="6" t="s">
        <v>312</v>
      </c>
    </row>
    <row r="41" customFormat="false" ht="15" hidden="false" customHeight="false" outlineLevel="0" collapsed="false">
      <c r="A41" s="7" t="n">
        <v>40</v>
      </c>
      <c r="B41" s="6" t="s">
        <v>309</v>
      </c>
      <c r="C41" s="6" t="s">
        <v>313</v>
      </c>
      <c r="D41" s="16" t="s">
        <v>55</v>
      </c>
      <c r="E41" s="6"/>
      <c r="F41" s="17" t="s">
        <v>9</v>
      </c>
      <c r="G41" s="7" t="s">
        <v>314</v>
      </c>
      <c r="H41" s="6"/>
      <c r="I41" s="6" t="s">
        <v>315</v>
      </c>
    </row>
    <row r="42" customFormat="false" ht="15" hidden="false" customHeight="false" outlineLevel="0" collapsed="false">
      <c r="A42" s="7" t="n">
        <v>41</v>
      </c>
      <c r="B42" s="6" t="s">
        <v>309</v>
      </c>
      <c r="C42" s="6" t="s">
        <v>316</v>
      </c>
      <c r="D42" s="16" t="s">
        <v>55</v>
      </c>
      <c r="E42" s="6"/>
      <c r="F42" s="17" t="s">
        <v>9</v>
      </c>
      <c r="G42" s="7" t="s">
        <v>271</v>
      </c>
      <c r="H42" s="6"/>
      <c r="I42" s="6" t="s">
        <v>317</v>
      </c>
    </row>
    <row r="43" customFormat="false" ht="15" hidden="false" customHeight="false" outlineLevel="0" collapsed="false">
      <c r="A43" s="7" t="n">
        <v>42</v>
      </c>
      <c r="B43" s="6" t="s">
        <v>309</v>
      </c>
      <c r="C43" s="6" t="s">
        <v>318</v>
      </c>
      <c r="D43" s="16" t="s">
        <v>55</v>
      </c>
      <c r="E43" s="6"/>
      <c r="F43" s="16" t="s">
        <v>8</v>
      </c>
      <c r="G43" s="7" t="s">
        <v>319</v>
      </c>
      <c r="H43" s="6"/>
      <c r="I43" s="6" t="s">
        <v>320</v>
      </c>
    </row>
    <row r="44" customFormat="false" ht="15" hidden="false" customHeight="false" outlineLevel="0" collapsed="false">
      <c r="A44" s="7" t="n">
        <v>43</v>
      </c>
      <c r="B44" s="6" t="s">
        <v>309</v>
      </c>
      <c r="C44" s="6" t="s">
        <v>321</v>
      </c>
      <c r="D44" s="16" t="s">
        <v>55</v>
      </c>
      <c r="E44" s="6"/>
      <c r="F44" s="18" t="s">
        <v>10</v>
      </c>
      <c r="G44" s="7"/>
      <c r="H44" s="6" t="s">
        <v>277</v>
      </c>
      <c r="I44" s="6"/>
    </row>
    <row r="45" customFormat="false" ht="15" hidden="false" customHeight="false" outlineLevel="0" collapsed="false">
      <c r="A45" s="7" t="n">
        <v>44</v>
      </c>
      <c r="B45" s="6" t="s">
        <v>309</v>
      </c>
      <c r="C45" s="6" t="s">
        <v>322</v>
      </c>
      <c r="D45" s="16" t="s">
        <v>55</v>
      </c>
      <c r="E45" s="6"/>
      <c r="F45" s="16" t="s">
        <v>8</v>
      </c>
      <c r="G45" s="7" t="s">
        <v>273</v>
      </c>
      <c r="H45" s="6"/>
      <c r="I45" s="6"/>
    </row>
    <row r="46" customFormat="false" ht="15" hidden="false" customHeight="false" outlineLevel="0" collapsed="false">
      <c r="A46" s="7" t="n">
        <v>45</v>
      </c>
      <c r="B46" s="6" t="s">
        <v>323</v>
      </c>
      <c r="C46" s="6" t="s">
        <v>324</v>
      </c>
      <c r="D46" s="16" t="s">
        <v>55</v>
      </c>
      <c r="E46" s="6"/>
      <c r="F46" s="18" t="s">
        <v>10</v>
      </c>
      <c r="G46" s="7"/>
      <c r="H46" s="6" t="s">
        <v>325</v>
      </c>
      <c r="I46" s="6" t="s">
        <v>326</v>
      </c>
    </row>
    <row r="47" customFormat="false" ht="15" hidden="false" customHeight="false" outlineLevel="0" collapsed="false">
      <c r="A47" s="7" t="n">
        <v>46</v>
      </c>
      <c r="B47" s="6" t="s">
        <v>323</v>
      </c>
      <c r="C47" s="6" t="s">
        <v>327</v>
      </c>
      <c r="D47" s="16" t="s">
        <v>55</v>
      </c>
      <c r="E47" s="6"/>
      <c r="F47" s="18" t="s">
        <v>10</v>
      </c>
      <c r="G47" s="7"/>
      <c r="H47" s="6" t="s">
        <v>325</v>
      </c>
      <c r="I47" s="6" t="s">
        <v>326</v>
      </c>
    </row>
    <row r="48" customFormat="false" ht="15" hidden="false" customHeight="false" outlineLevel="0" collapsed="false">
      <c r="A48" s="7" t="n">
        <v>47</v>
      </c>
      <c r="B48" s="6" t="s">
        <v>323</v>
      </c>
      <c r="C48" s="6" t="s">
        <v>328</v>
      </c>
      <c r="D48" s="16" t="s">
        <v>55</v>
      </c>
      <c r="E48" s="6"/>
      <c r="F48" s="18" t="s">
        <v>10</v>
      </c>
      <c r="G48" s="7"/>
      <c r="H48" s="6" t="s">
        <v>325</v>
      </c>
      <c r="I48" s="6" t="s">
        <v>326</v>
      </c>
    </row>
    <row r="49" customFormat="false" ht="15" hidden="false" customHeight="false" outlineLevel="0" collapsed="false">
      <c r="A49" s="7" t="n">
        <v>48</v>
      </c>
      <c r="B49" s="6" t="s">
        <v>323</v>
      </c>
      <c r="C49" s="6" t="s">
        <v>329</v>
      </c>
      <c r="D49" s="16" t="s">
        <v>55</v>
      </c>
      <c r="E49" s="6"/>
      <c r="F49" s="18" t="s">
        <v>10</v>
      </c>
      <c r="G49" s="7"/>
      <c r="H49" s="6" t="s">
        <v>325</v>
      </c>
      <c r="I49" s="6" t="s">
        <v>326</v>
      </c>
    </row>
    <row r="50" customFormat="false" ht="15" hidden="false" customHeight="false" outlineLevel="0" collapsed="false">
      <c r="A50" s="7" t="n">
        <v>49</v>
      </c>
      <c r="B50" s="6" t="s">
        <v>323</v>
      </c>
      <c r="C50" s="6" t="s">
        <v>330</v>
      </c>
      <c r="D50" s="16" t="s">
        <v>55</v>
      </c>
      <c r="E50" s="6"/>
      <c r="F50" s="18" t="s">
        <v>10</v>
      </c>
      <c r="G50" s="7"/>
      <c r="H50" s="6" t="s">
        <v>325</v>
      </c>
      <c r="I50" s="6" t="s">
        <v>326</v>
      </c>
    </row>
    <row r="51" customFormat="false" ht="15" hidden="false" customHeight="false" outlineLevel="0" collapsed="false">
      <c r="A51" s="7" t="n">
        <v>50</v>
      </c>
      <c r="B51" s="6" t="s">
        <v>323</v>
      </c>
      <c r="C51" s="6" t="s">
        <v>331</v>
      </c>
      <c r="D51" s="16" t="s">
        <v>55</v>
      </c>
      <c r="E51" s="6"/>
      <c r="F51" s="18" t="s">
        <v>10</v>
      </c>
      <c r="G51" s="7"/>
      <c r="H51" s="6" t="s">
        <v>325</v>
      </c>
      <c r="I51" s="6" t="s">
        <v>326</v>
      </c>
    </row>
    <row r="52" customFormat="false" ht="15" hidden="false" customHeight="false" outlineLevel="0" collapsed="false">
      <c r="A52" s="7" t="n">
        <v>51</v>
      </c>
      <c r="B52" s="6" t="s">
        <v>323</v>
      </c>
      <c r="C52" s="6" t="s">
        <v>332</v>
      </c>
      <c r="D52" s="16" t="s">
        <v>55</v>
      </c>
      <c r="E52" s="6"/>
      <c r="F52" s="18" t="s">
        <v>10</v>
      </c>
      <c r="G52" s="7"/>
      <c r="H52" s="6" t="s">
        <v>325</v>
      </c>
      <c r="I52" s="6" t="s">
        <v>326</v>
      </c>
    </row>
    <row r="53" customFormat="false" ht="15" hidden="false" customHeight="false" outlineLevel="0" collapsed="false">
      <c r="A53" s="7" t="n">
        <v>52</v>
      </c>
      <c r="B53" s="6" t="s">
        <v>323</v>
      </c>
      <c r="C53" s="6" t="s">
        <v>333</v>
      </c>
      <c r="D53" s="16" t="s">
        <v>55</v>
      </c>
      <c r="E53" s="6"/>
      <c r="F53" s="18" t="s">
        <v>10</v>
      </c>
      <c r="G53" s="7"/>
      <c r="H53" s="6" t="s">
        <v>325</v>
      </c>
      <c r="I53" s="6" t="s">
        <v>326</v>
      </c>
    </row>
    <row r="54" customFormat="false" ht="15" hidden="false" customHeight="false" outlineLevel="0" collapsed="false">
      <c r="A54" s="7" t="n">
        <v>53</v>
      </c>
      <c r="B54" s="6" t="s">
        <v>334</v>
      </c>
      <c r="C54" s="6" t="s">
        <v>335</v>
      </c>
      <c r="D54" s="16" t="s">
        <v>55</v>
      </c>
      <c r="E54" s="6"/>
      <c r="F54" s="18" t="s">
        <v>10</v>
      </c>
      <c r="G54" s="7"/>
      <c r="H54" s="6" t="s">
        <v>280</v>
      </c>
      <c r="I54" s="6"/>
    </row>
    <row r="55" customFormat="false" ht="15" hidden="false" customHeight="false" outlineLevel="0" collapsed="false">
      <c r="A55" s="7" t="n">
        <v>54</v>
      </c>
      <c r="B55" s="6" t="s">
        <v>334</v>
      </c>
      <c r="C55" s="6" t="s">
        <v>336</v>
      </c>
      <c r="D55" s="16" t="s">
        <v>55</v>
      </c>
      <c r="E55" s="6"/>
      <c r="F55" s="18" t="s">
        <v>10</v>
      </c>
      <c r="G55" s="7"/>
      <c r="H55" s="6" t="s">
        <v>280</v>
      </c>
      <c r="I55" s="6"/>
    </row>
    <row r="56" customFormat="false" ht="15" hidden="false" customHeight="false" outlineLevel="0" collapsed="false">
      <c r="A56" s="7" t="n">
        <v>55</v>
      </c>
      <c r="B56" s="6" t="s">
        <v>334</v>
      </c>
      <c r="C56" s="6" t="s">
        <v>337</v>
      </c>
      <c r="D56" s="16" t="s">
        <v>55</v>
      </c>
      <c r="E56" s="6"/>
      <c r="F56" s="18" t="s">
        <v>10</v>
      </c>
      <c r="G56" s="7"/>
      <c r="H56" s="6" t="s">
        <v>280</v>
      </c>
      <c r="I56" s="6"/>
    </row>
    <row r="57" customFormat="false" ht="15" hidden="false" customHeight="false" outlineLevel="0" collapsed="false">
      <c r="A57" s="7" t="n">
        <v>56</v>
      </c>
      <c r="B57" s="6" t="s">
        <v>334</v>
      </c>
      <c r="C57" s="6" t="s">
        <v>338</v>
      </c>
      <c r="D57" s="16" t="s">
        <v>55</v>
      </c>
      <c r="E57" s="6"/>
      <c r="F57" s="18" t="s">
        <v>10</v>
      </c>
      <c r="G57" s="7"/>
      <c r="H57" s="6" t="s">
        <v>280</v>
      </c>
      <c r="I57" s="6"/>
    </row>
    <row r="58" customFormat="false" ht="15" hidden="false" customHeight="false" outlineLevel="0" collapsed="false">
      <c r="A58" s="7" t="n">
        <v>57</v>
      </c>
      <c r="B58" s="6" t="s">
        <v>334</v>
      </c>
      <c r="C58" s="6" t="s">
        <v>339</v>
      </c>
      <c r="D58" s="16" t="s">
        <v>55</v>
      </c>
      <c r="E58" s="6"/>
      <c r="F58" s="18" t="s">
        <v>10</v>
      </c>
      <c r="G58" s="7"/>
      <c r="H58" s="6" t="s">
        <v>280</v>
      </c>
      <c r="I58" s="6"/>
    </row>
    <row r="59" customFormat="false" ht="15" hidden="false" customHeight="false" outlineLevel="0" collapsed="false">
      <c r="A59" s="7" t="n">
        <v>58</v>
      </c>
      <c r="B59" s="6" t="s">
        <v>334</v>
      </c>
      <c r="C59" s="6" t="s">
        <v>340</v>
      </c>
      <c r="D59" s="16" t="s">
        <v>55</v>
      </c>
      <c r="E59" s="6"/>
      <c r="F59" s="18" t="s">
        <v>10</v>
      </c>
      <c r="G59" s="7"/>
      <c r="H59" s="6" t="s">
        <v>280</v>
      </c>
      <c r="I59" s="6"/>
    </row>
    <row r="60" customFormat="false" ht="15" hidden="false" customHeight="false" outlineLevel="0" collapsed="false">
      <c r="A60" s="7" t="n">
        <v>59</v>
      </c>
      <c r="B60" s="6" t="s">
        <v>334</v>
      </c>
      <c r="C60" s="6" t="s">
        <v>341</v>
      </c>
      <c r="D60" s="16" t="s">
        <v>55</v>
      </c>
      <c r="E60" s="6"/>
      <c r="F60" s="18" t="s">
        <v>10</v>
      </c>
      <c r="G60" s="7"/>
      <c r="H60" s="6" t="s">
        <v>280</v>
      </c>
      <c r="I60" s="6"/>
    </row>
    <row r="61" customFormat="false" ht="15" hidden="false" customHeight="false" outlineLevel="0" collapsed="false">
      <c r="A61" s="7" t="n">
        <v>60</v>
      </c>
      <c r="B61" s="6" t="s">
        <v>334</v>
      </c>
      <c r="C61" s="6" t="s">
        <v>342</v>
      </c>
      <c r="D61" s="16" t="s">
        <v>55</v>
      </c>
      <c r="E61" s="6"/>
      <c r="F61" s="18" t="s">
        <v>10</v>
      </c>
      <c r="G61" s="7"/>
      <c r="H61" s="6" t="s">
        <v>280</v>
      </c>
      <c r="I61" s="6"/>
    </row>
    <row r="62" customFormat="false" ht="15" hidden="false" customHeight="false" outlineLevel="0" collapsed="false">
      <c r="A62" s="7" t="n">
        <v>61</v>
      </c>
      <c r="B62" s="6" t="s">
        <v>334</v>
      </c>
      <c r="C62" s="6" t="s">
        <v>343</v>
      </c>
      <c r="D62" s="16" t="s">
        <v>55</v>
      </c>
      <c r="E62" s="6"/>
      <c r="F62" s="18" t="s">
        <v>10</v>
      </c>
      <c r="G62" s="7"/>
      <c r="H62" s="6" t="s">
        <v>280</v>
      </c>
      <c r="I62" s="6"/>
    </row>
    <row r="63" customFormat="false" ht="15" hidden="false" customHeight="false" outlineLevel="0" collapsed="false">
      <c r="A63" s="7" t="n">
        <v>62</v>
      </c>
      <c r="B63" s="6" t="s">
        <v>344</v>
      </c>
      <c r="C63" s="6" t="s">
        <v>345</v>
      </c>
      <c r="D63" s="16" t="s">
        <v>55</v>
      </c>
      <c r="E63" s="6"/>
      <c r="F63" s="20" t="s">
        <v>12</v>
      </c>
      <c r="G63" s="7"/>
      <c r="H63" s="6"/>
      <c r="I63" s="6" t="s">
        <v>56</v>
      </c>
    </row>
    <row r="64" customFormat="false" ht="23.85" hidden="false" customHeight="false" outlineLevel="0" collapsed="false">
      <c r="A64" s="7" t="n">
        <v>63</v>
      </c>
      <c r="B64" s="6" t="s">
        <v>344</v>
      </c>
      <c r="C64" s="6" t="s">
        <v>346</v>
      </c>
      <c r="D64" s="16" t="s">
        <v>55</v>
      </c>
      <c r="E64" s="6"/>
      <c r="F64" s="20" t="s">
        <v>12</v>
      </c>
      <c r="G64" s="7"/>
      <c r="H64" s="6"/>
      <c r="I64" s="6" t="s">
        <v>347</v>
      </c>
    </row>
    <row r="65" customFormat="false" ht="15" hidden="false" customHeight="false" outlineLevel="0" collapsed="false">
      <c r="A65" s="7" t="n">
        <v>64</v>
      </c>
      <c r="B65" s="6" t="s">
        <v>344</v>
      </c>
      <c r="C65" s="6" t="s">
        <v>348</v>
      </c>
      <c r="D65" s="16" t="s">
        <v>55</v>
      </c>
      <c r="E65" s="6"/>
      <c r="F65" s="18" t="s">
        <v>10</v>
      </c>
      <c r="G65" s="7"/>
      <c r="H65" s="6" t="s">
        <v>325</v>
      </c>
      <c r="I65" s="6"/>
    </row>
    <row r="66" customFormat="false" ht="15" hidden="false" customHeight="false" outlineLevel="0" collapsed="false">
      <c r="A66" s="7" t="n">
        <v>65</v>
      </c>
      <c r="B66" s="6" t="s">
        <v>349</v>
      </c>
      <c r="C66" s="6" t="s">
        <v>350</v>
      </c>
      <c r="D66" s="16" t="s">
        <v>55</v>
      </c>
      <c r="E66" s="6"/>
      <c r="F66" s="20" t="s">
        <v>12</v>
      </c>
      <c r="G66" s="7"/>
      <c r="H66" s="6"/>
      <c r="I66" s="6" t="s">
        <v>246</v>
      </c>
    </row>
    <row r="67" customFormat="false" ht="15" hidden="false" customHeight="false" outlineLevel="0" collapsed="false">
      <c r="A67" s="7" t="n">
        <v>66</v>
      </c>
      <c r="B67" s="6" t="s">
        <v>349</v>
      </c>
      <c r="C67" s="6" t="s">
        <v>351</v>
      </c>
      <c r="D67" s="16" t="s">
        <v>55</v>
      </c>
      <c r="E67" s="6"/>
      <c r="F67" s="20" t="s">
        <v>12</v>
      </c>
      <c r="G67" s="7"/>
      <c r="H67" s="6"/>
      <c r="I67" s="6" t="s">
        <v>246</v>
      </c>
    </row>
    <row r="68" customFormat="false" ht="15" hidden="false" customHeight="false" outlineLevel="0" collapsed="false">
      <c r="A68" s="7" t="n">
        <v>67</v>
      </c>
      <c r="B68" s="6" t="s">
        <v>349</v>
      </c>
      <c r="C68" s="6" t="s">
        <v>352</v>
      </c>
      <c r="D68" s="16" t="s">
        <v>55</v>
      </c>
      <c r="E68" s="6"/>
      <c r="F68" s="20" t="s">
        <v>12</v>
      </c>
      <c r="G68" s="7"/>
      <c r="H68" s="6"/>
      <c r="I68" s="6" t="s">
        <v>246</v>
      </c>
    </row>
    <row r="69" customFormat="false" ht="15" hidden="false" customHeight="false" outlineLevel="0" collapsed="false">
      <c r="A69" s="7" t="n">
        <v>68</v>
      </c>
      <c r="B69" s="6" t="s">
        <v>349</v>
      </c>
      <c r="C69" s="6" t="s">
        <v>353</v>
      </c>
      <c r="D69" s="16" t="s">
        <v>55</v>
      </c>
      <c r="E69" s="6"/>
      <c r="F69" s="20" t="s">
        <v>12</v>
      </c>
      <c r="G69" s="7"/>
      <c r="H69" s="6"/>
      <c r="I69" s="6" t="s">
        <v>246</v>
      </c>
    </row>
    <row r="70" customFormat="false" ht="15" hidden="false" customHeight="false" outlineLevel="0" collapsed="false">
      <c r="A70" s="7" t="n">
        <v>69</v>
      </c>
      <c r="B70" s="6" t="s">
        <v>354</v>
      </c>
      <c r="C70" s="6" t="s">
        <v>355</v>
      </c>
      <c r="D70" s="16" t="s">
        <v>55</v>
      </c>
      <c r="E70" s="6"/>
      <c r="F70" s="20" t="s">
        <v>12</v>
      </c>
      <c r="G70" s="7"/>
      <c r="H70" s="6"/>
      <c r="I70" s="6" t="s">
        <v>356</v>
      </c>
    </row>
    <row r="71" customFormat="false" ht="15" hidden="false" customHeight="false" outlineLevel="0" collapsed="false">
      <c r="A71" s="7" t="n">
        <v>70</v>
      </c>
      <c r="B71" s="6" t="s">
        <v>354</v>
      </c>
      <c r="C71" s="6" t="s">
        <v>357</v>
      </c>
      <c r="D71" s="16" t="s">
        <v>55</v>
      </c>
      <c r="E71" s="6"/>
      <c r="F71" s="20" t="s">
        <v>12</v>
      </c>
      <c r="G71" s="7"/>
      <c r="H71" s="6"/>
      <c r="I71" s="6" t="s">
        <v>356</v>
      </c>
    </row>
    <row r="72" customFormat="false" ht="15" hidden="false" customHeight="false" outlineLevel="0" collapsed="false">
      <c r="A72" s="7" t="n">
        <v>71</v>
      </c>
      <c r="B72" s="6" t="s">
        <v>354</v>
      </c>
      <c r="C72" s="6" t="s">
        <v>358</v>
      </c>
      <c r="D72" s="16" t="s">
        <v>55</v>
      </c>
      <c r="E72" s="6"/>
      <c r="F72" s="20" t="s">
        <v>12</v>
      </c>
      <c r="G72" s="7"/>
      <c r="H72" s="6"/>
      <c r="I72" s="6" t="s">
        <v>356</v>
      </c>
    </row>
    <row r="73" customFormat="false" ht="15" hidden="false" customHeight="false" outlineLevel="0" collapsed="false">
      <c r="A73" s="7" t="n">
        <v>72</v>
      </c>
      <c r="B73" s="6" t="s">
        <v>354</v>
      </c>
      <c r="C73" s="6" t="s">
        <v>359</v>
      </c>
      <c r="D73" s="16" t="s">
        <v>55</v>
      </c>
      <c r="E73" s="6"/>
      <c r="F73" s="20" t="s">
        <v>12</v>
      </c>
      <c r="G73" s="7"/>
      <c r="H73" s="6"/>
      <c r="I73" s="6" t="s">
        <v>356</v>
      </c>
    </row>
    <row r="74" customFormat="false" ht="15" hidden="false" customHeight="false" outlineLevel="0" collapsed="false">
      <c r="A74" s="7" t="n">
        <v>73</v>
      </c>
      <c r="B74" s="6" t="s">
        <v>360</v>
      </c>
      <c r="C74" s="6" t="s">
        <v>361</v>
      </c>
      <c r="D74" s="16" t="s">
        <v>55</v>
      </c>
      <c r="E74" s="6"/>
      <c r="F74" s="17" t="s">
        <v>9</v>
      </c>
      <c r="G74" s="7" t="s">
        <v>99</v>
      </c>
      <c r="H74" s="6"/>
      <c r="I74" s="6" t="s">
        <v>362</v>
      </c>
    </row>
    <row r="75" customFormat="false" ht="15" hidden="false" customHeight="false" outlineLevel="0" collapsed="false">
      <c r="A75" s="7" t="n">
        <v>74</v>
      </c>
      <c r="B75" s="6" t="s">
        <v>360</v>
      </c>
      <c r="C75" s="6" t="s">
        <v>363</v>
      </c>
      <c r="D75" s="16" t="s">
        <v>55</v>
      </c>
      <c r="E75" s="6"/>
      <c r="F75" s="18" t="s">
        <v>10</v>
      </c>
      <c r="G75" s="7"/>
      <c r="H75" s="6" t="s">
        <v>265</v>
      </c>
      <c r="I75" s="6"/>
    </row>
    <row r="76" customFormat="false" ht="15" hidden="false" customHeight="false" outlineLevel="0" collapsed="false">
      <c r="A76" s="7" t="n">
        <v>75</v>
      </c>
      <c r="B76" s="6" t="s">
        <v>360</v>
      </c>
      <c r="C76" s="6" t="s">
        <v>364</v>
      </c>
      <c r="D76" s="16" t="s">
        <v>55</v>
      </c>
      <c r="E76" s="6"/>
      <c r="F76" s="20" t="s">
        <v>12</v>
      </c>
      <c r="G76" s="7"/>
      <c r="H76" s="6"/>
      <c r="I76" s="6" t="s">
        <v>365</v>
      </c>
    </row>
    <row r="77" customFormat="false" ht="15" hidden="false" customHeight="false" outlineLevel="0" collapsed="false">
      <c r="A77" s="7" t="n">
        <v>76</v>
      </c>
      <c r="B77" s="6" t="s">
        <v>165</v>
      </c>
      <c r="C77" s="6" t="s">
        <v>366</v>
      </c>
      <c r="D77" s="16" t="s">
        <v>55</v>
      </c>
      <c r="E77" s="6"/>
      <c r="F77" s="17" t="s">
        <v>9</v>
      </c>
      <c r="G77" s="7" t="s">
        <v>127</v>
      </c>
      <c r="H77" s="6"/>
      <c r="I77" s="6" t="s">
        <v>367</v>
      </c>
    </row>
    <row r="78" customFormat="false" ht="15" hidden="false" customHeight="false" outlineLevel="0" collapsed="false">
      <c r="A78" s="7" t="n">
        <v>77</v>
      </c>
      <c r="B78" s="6" t="s">
        <v>165</v>
      </c>
      <c r="C78" s="6" t="s">
        <v>368</v>
      </c>
      <c r="D78" s="16" t="s">
        <v>55</v>
      </c>
      <c r="E78" s="6"/>
      <c r="F78" s="17" t="s">
        <v>9</v>
      </c>
      <c r="G78" s="7" t="s">
        <v>127</v>
      </c>
      <c r="H78" s="6"/>
      <c r="I78" s="6" t="s">
        <v>367</v>
      </c>
    </row>
    <row r="79" customFormat="false" ht="15" hidden="false" customHeight="false" outlineLevel="0" collapsed="false">
      <c r="A79" s="7" t="n">
        <v>78</v>
      </c>
      <c r="B79" s="6" t="s">
        <v>165</v>
      </c>
      <c r="C79" s="6" t="s">
        <v>369</v>
      </c>
      <c r="D79" s="16" t="s">
        <v>55</v>
      </c>
      <c r="E79" s="6"/>
      <c r="F79" s="16" t="s">
        <v>8</v>
      </c>
      <c r="G79" s="7" t="s">
        <v>130</v>
      </c>
      <c r="H79" s="6"/>
      <c r="I79" s="6"/>
    </row>
    <row r="80" customFormat="false" ht="15" hidden="false" customHeight="false" outlineLevel="0" collapsed="false">
      <c r="A80" s="7" t="n">
        <v>79</v>
      </c>
      <c r="B80" s="6" t="s">
        <v>165</v>
      </c>
      <c r="C80" s="6" t="s">
        <v>370</v>
      </c>
      <c r="D80" s="16" t="s">
        <v>55</v>
      </c>
      <c r="E80" s="6"/>
      <c r="F80" s="17" t="s">
        <v>9</v>
      </c>
      <c r="G80" s="7" t="s">
        <v>127</v>
      </c>
      <c r="H80" s="6"/>
      <c r="I80" s="6" t="s">
        <v>371</v>
      </c>
    </row>
    <row r="81" customFormat="false" ht="15" hidden="false" customHeight="false" outlineLevel="0" collapsed="false">
      <c r="A81" s="7" t="n">
        <v>80</v>
      </c>
      <c r="B81" s="6" t="s">
        <v>165</v>
      </c>
      <c r="C81" s="6" t="s">
        <v>372</v>
      </c>
      <c r="D81" s="16" t="s">
        <v>55</v>
      </c>
      <c r="E81" s="6"/>
      <c r="F81" s="17" t="s">
        <v>9</v>
      </c>
      <c r="G81" s="7" t="s">
        <v>127</v>
      </c>
      <c r="H81" s="6"/>
      <c r="I81" s="6" t="s">
        <v>367</v>
      </c>
    </row>
    <row r="82" customFormat="false" ht="15" hidden="false" customHeight="false" outlineLevel="0" collapsed="false">
      <c r="A82" s="7" t="n">
        <v>81</v>
      </c>
      <c r="B82" s="6" t="s">
        <v>165</v>
      </c>
      <c r="C82" s="6" t="s">
        <v>373</v>
      </c>
      <c r="D82" s="16" t="s">
        <v>55</v>
      </c>
      <c r="E82" s="6"/>
      <c r="F82" s="17" t="s">
        <v>9</v>
      </c>
      <c r="G82" s="7" t="s">
        <v>259</v>
      </c>
      <c r="H82" s="6"/>
      <c r="I82" s="6" t="s">
        <v>371</v>
      </c>
    </row>
    <row r="83" customFormat="false" ht="15" hidden="false" customHeight="false" outlineLevel="0" collapsed="false">
      <c r="A83" s="7" t="n">
        <v>82</v>
      </c>
      <c r="B83" s="6" t="s">
        <v>165</v>
      </c>
      <c r="C83" s="6" t="s">
        <v>374</v>
      </c>
      <c r="D83" s="16" t="s">
        <v>55</v>
      </c>
      <c r="E83" s="6"/>
      <c r="F83" s="18" t="s">
        <v>10</v>
      </c>
      <c r="G83" s="7"/>
      <c r="H83" s="6" t="s">
        <v>265</v>
      </c>
      <c r="I83" s="6"/>
    </row>
    <row r="84" customFormat="false" ht="15" hidden="false" customHeight="false" outlineLevel="0" collapsed="false">
      <c r="A84" s="7" t="n">
        <v>83</v>
      </c>
      <c r="B84" s="6" t="s">
        <v>165</v>
      </c>
      <c r="C84" s="6" t="s">
        <v>375</v>
      </c>
      <c r="D84" s="16" t="s">
        <v>55</v>
      </c>
      <c r="E84" s="6"/>
      <c r="F84" s="17" t="s">
        <v>9</v>
      </c>
      <c r="G84" s="7" t="s">
        <v>127</v>
      </c>
      <c r="H84" s="6"/>
      <c r="I84" s="6" t="s">
        <v>371</v>
      </c>
    </row>
    <row r="85" customFormat="false" ht="15" hidden="false" customHeight="false" outlineLevel="0" collapsed="false">
      <c r="A85" s="7" t="n">
        <v>84</v>
      </c>
      <c r="B85" s="6" t="s">
        <v>165</v>
      </c>
      <c r="C85" s="6" t="s">
        <v>376</v>
      </c>
      <c r="D85" s="16" t="s">
        <v>55</v>
      </c>
      <c r="E85" s="6"/>
      <c r="F85" s="16" t="s">
        <v>8</v>
      </c>
      <c r="G85" s="7" t="s">
        <v>97</v>
      </c>
      <c r="H85" s="6"/>
      <c r="I85" s="6"/>
    </row>
    <row r="86" customFormat="false" ht="15" hidden="false" customHeight="false" outlineLevel="0" collapsed="false">
      <c r="A86" s="7" t="n">
        <v>85</v>
      </c>
      <c r="B86" s="6" t="s">
        <v>165</v>
      </c>
      <c r="C86" s="6" t="s">
        <v>377</v>
      </c>
      <c r="D86" s="16" t="s">
        <v>55</v>
      </c>
      <c r="E86" s="6"/>
      <c r="F86" s="16" t="s">
        <v>8</v>
      </c>
      <c r="G86" s="7" t="s">
        <v>97</v>
      </c>
      <c r="H86" s="6"/>
      <c r="I86" s="6"/>
    </row>
    <row r="87" customFormat="false" ht="15" hidden="false" customHeight="false" outlineLevel="0" collapsed="false">
      <c r="A87" s="7" t="n">
        <v>86</v>
      </c>
      <c r="B87" s="6" t="s">
        <v>165</v>
      </c>
      <c r="C87" s="6" t="s">
        <v>378</v>
      </c>
      <c r="D87" s="16" t="s">
        <v>55</v>
      </c>
      <c r="E87" s="6"/>
      <c r="F87" s="16" t="s">
        <v>8</v>
      </c>
      <c r="G87" s="7" t="s">
        <v>97</v>
      </c>
      <c r="H87" s="6"/>
      <c r="I87" s="6"/>
    </row>
    <row r="88" customFormat="false" ht="15" hidden="false" customHeight="false" outlineLevel="0" collapsed="false">
      <c r="A88" s="7" t="n">
        <v>87</v>
      </c>
      <c r="B88" s="6" t="s">
        <v>165</v>
      </c>
      <c r="C88" s="6" t="s">
        <v>379</v>
      </c>
      <c r="D88" s="16" t="s">
        <v>55</v>
      </c>
      <c r="E88" s="6"/>
      <c r="F88" s="17" t="s">
        <v>9</v>
      </c>
      <c r="G88" s="7" t="s">
        <v>271</v>
      </c>
      <c r="H88" s="6"/>
      <c r="I88" s="6" t="s">
        <v>367</v>
      </c>
    </row>
    <row r="89" customFormat="false" ht="15" hidden="false" customHeight="false" outlineLevel="0" collapsed="false">
      <c r="A89" s="7" t="n">
        <v>88</v>
      </c>
      <c r="B89" s="6" t="s">
        <v>165</v>
      </c>
      <c r="C89" s="6" t="s">
        <v>380</v>
      </c>
      <c r="D89" s="16" t="s">
        <v>55</v>
      </c>
      <c r="E89" s="6"/>
      <c r="F89" s="18" t="s">
        <v>10</v>
      </c>
      <c r="G89" s="7"/>
      <c r="H89" s="6" t="s">
        <v>277</v>
      </c>
      <c r="I89" s="6"/>
    </row>
    <row r="90" customFormat="false" ht="15" hidden="false" customHeight="false" outlineLevel="0" collapsed="false">
      <c r="A90" s="7" t="n">
        <v>89</v>
      </c>
      <c r="B90" s="6" t="s">
        <v>165</v>
      </c>
      <c r="C90" s="6" t="s">
        <v>381</v>
      </c>
      <c r="D90" s="16" t="s">
        <v>55</v>
      </c>
      <c r="E90" s="6"/>
      <c r="F90" s="17" t="s">
        <v>9</v>
      </c>
      <c r="G90" s="7" t="s">
        <v>273</v>
      </c>
      <c r="H90" s="6"/>
      <c r="I90" s="6" t="s">
        <v>367</v>
      </c>
    </row>
    <row r="91" customFormat="false" ht="15" hidden="false" customHeight="false" outlineLevel="0" collapsed="false">
      <c r="A91" s="7" t="n">
        <v>90</v>
      </c>
      <c r="B91" s="6" t="s">
        <v>165</v>
      </c>
      <c r="C91" s="6" t="s">
        <v>382</v>
      </c>
      <c r="D91" s="16" t="s">
        <v>55</v>
      </c>
      <c r="E91" s="6"/>
      <c r="F91" s="17" t="s">
        <v>9</v>
      </c>
      <c r="G91" s="7" t="s">
        <v>99</v>
      </c>
      <c r="H91" s="6"/>
      <c r="I91" s="6" t="s">
        <v>282</v>
      </c>
    </row>
    <row r="92" customFormat="false" ht="15" hidden="false" customHeight="false" outlineLevel="0" collapsed="false">
      <c r="A92" s="7" t="n">
        <v>91</v>
      </c>
      <c r="B92" s="6" t="s">
        <v>165</v>
      </c>
      <c r="C92" s="6" t="s">
        <v>383</v>
      </c>
      <c r="D92" s="16" t="s">
        <v>55</v>
      </c>
      <c r="E92" s="6"/>
      <c r="F92" s="17" t="s">
        <v>9</v>
      </c>
      <c r="G92" s="7" t="s">
        <v>89</v>
      </c>
      <c r="H92" s="6"/>
      <c r="I92" s="6" t="s">
        <v>384</v>
      </c>
    </row>
    <row r="93" customFormat="false" ht="15" hidden="false" customHeight="false" outlineLevel="0" collapsed="false">
      <c r="A93" s="7" t="n">
        <v>92</v>
      </c>
      <c r="B93" s="6" t="s">
        <v>165</v>
      </c>
      <c r="C93" s="6" t="s">
        <v>385</v>
      </c>
      <c r="D93" s="16" t="s">
        <v>55</v>
      </c>
      <c r="E93" s="6"/>
      <c r="F93" s="17" t="s">
        <v>9</v>
      </c>
      <c r="G93" s="7" t="s">
        <v>97</v>
      </c>
      <c r="H93" s="6"/>
      <c r="I93" s="6" t="s">
        <v>386</v>
      </c>
    </row>
    <row r="94" customFormat="false" ht="23.85" hidden="false" customHeight="false" outlineLevel="0" collapsed="false">
      <c r="A94" s="7" t="n">
        <v>93</v>
      </c>
      <c r="B94" s="6" t="s">
        <v>165</v>
      </c>
      <c r="C94" s="6" t="s">
        <v>387</v>
      </c>
      <c r="D94" s="16" t="s">
        <v>55</v>
      </c>
      <c r="E94" s="6"/>
      <c r="F94" s="17" t="s">
        <v>9</v>
      </c>
      <c r="G94" s="7" t="s">
        <v>89</v>
      </c>
      <c r="H94" s="6"/>
      <c r="I94" s="6" t="s">
        <v>388</v>
      </c>
    </row>
    <row r="95" customFormat="false" ht="15" hidden="false" customHeight="false" outlineLevel="0" collapsed="false">
      <c r="A95" s="7" t="n">
        <v>94</v>
      </c>
      <c r="B95" s="6" t="s">
        <v>165</v>
      </c>
      <c r="C95" s="6" t="s">
        <v>389</v>
      </c>
      <c r="D95" s="16" t="s">
        <v>55</v>
      </c>
      <c r="E95" s="6"/>
      <c r="F95" s="16" t="s">
        <v>8</v>
      </c>
      <c r="G95" s="7" t="s">
        <v>99</v>
      </c>
      <c r="H95" s="6"/>
      <c r="I95" s="6"/>
    </row>
    <row r="96" customFormat="false" ht="15" hidden="false" customHeight="false" outlineLevel="0" collapsed="false">
      <c r="A96" s="7" t="n">
        <v>95</v>
      </c>
      <c r="B96" s="6" t="s">
        <v>165</v>
      </c>
      <c r="C96" s="6" t="s">
        <v>390</v>
      </c>
      <c r="D96" s="16" t="s">
        <v>55</v>
      </c>
      <c r="E96" s="6"/>
      <c r="F96" s="18" t="s">
        <v>10</v>
      </c>
      <c r="G96" s="7"/>
      <c r="H96" s="6" t="s">
        <v>289</v>
      </c>
      <c r="I96" s="6"/>
    </row>
    <row r="97" customFormat="false" ht="15" hidden="false" customHeight="false" outlineLevel="0" collapsed="false">
      <c r="A97" s="7" t="n">
        <v>96</v>
      </c>
      <c r="B97" s="6" t="s">
        <v>165</v>
      </c>
      <c r="C97" s="6" t="s">
        <v>391</v>
      </c>
      <c r="D97" s="16" t="s">
        <v>55</v>
      </c>
      <c r="E97" s="6"/>
      <c r="F97" s="18" t="s">
        <v>10</v>
      </c>
      <c r="G97" s="7"/>
      <c r="H97" s="6" t="s">
        <v>289</v>
      </c>
      <c r="I97" s="6"/>
    </row>
    <row r="98" customFormat="false" ht="15" hidden="false" customHeight="false" outlineLevel="0" collapsed="false">
      <c r="A98" s="7" t="n">
        <v>97</v>
      </c>
      <c r="B98" s="6" t="s">
        <v>165</v>
      </c>
      <c r="C98" s="6" t="s">
        <v>392</v>
      </c>
      <c r="D98" s="16" t="s">
        <v>55</v>
      </c>
      <c r="E98" s="6"/>
      <c r="F98" s="18" t="s">
        <v>10</v>
      </c>
      <c r="G98" s="7"/>
      <c r="H98" s="6" t="s">
        <v>289</v>
      </c>
      <c r="I98" s="6"/>
    </row>
    <row r="99" customFormat="false" ht="15" hidden="false" customHeight="false" outlineLevel="0" collapsed="false">
      <c r="A99" s="7" t="n">
        <v>98</v>
      </c>
      <c r="B99" s="6" t="s">
        <v>165</v>
      </c>
      <c r="C99" s="6" t="s">
        <v>393</v>
      </c>
      <c r="D99" s="16" t="s">
        <v>55</v>
      </c>
      <c r="E99" s="6"/>
      <c r="F99" s="18" t="s">
        <v>10</v>
      </c>
      <c r="G99" s="7"/>
      <c r="H99" s="6" t="s">
        <v>289</v>
      </c>
      <c r="I99" s="6"/>
    </row>
    <row r="100" customFormat="false" ht="15" hidden="false" customHeight="false" outlineLevel="0" collapsed="false">
      <c r="A100" s="7" t="n">
        <v>99</v>
      </c>
      <c r="B100" s="6" t="s">
        <v>165</v>
      </c>
      <c r="C100" s="6" t="s">
        <v>394</v>
      </c>
      <c r="D100" s="18" t="s">
        <v>185</v>
      </c>
      <c r="E100" s="6"/>
      <c r="F100" s="18" t="s">
        <v>10</v>
      </c>
      <c r="G100" s="7"/>
      <c r="H100" s="6" t="s">
        <v>289</v>
      </c>
      <c r="I100" s="6"/>
    </row>
    <row r="101" customFormat="false" ht="15" hidden="false" customHeight="false" outlineLevel="0" collapsed="false">
      <c r="A101" s="7" t="n">
        <v>100</v>
      </c>
      <c r="B101" s="6" t="s">
        <v>165</v>
      </c>
      <c r="C101" s="6" t="s">
        <v>395</v>
      </c>
      <c r="D101" s="16" t="s">
        <v>55</v>
      </c>
      <c r="E101" s="6"/>
      <c r="F101" s="18" t="s">
        <v>10</v>
      </c>
      <c r="G101" s="7"/>
      <c r="H101" s="6" t="s">
        <v>297</v>
      </c>
      <c r="I101" s="6"/>
    </row>
    <row r="102" customFormat="false" ht="15" hidden="false" customHeight="false" outlineLevel="0" collapsed="false">
      <c r="A102" s="7" t="n">
        <v>101</v>
      </c>
      <c r="B102" s="6" t="s">
        <v>165</v>
      </c>
      <c r="C102" s="6" t="s">
        <v>396</v>
      </c>
      <c r="D102" s="18" t="s">
        <v>185</v>
      </c>
      <c r="E102" s="6"/>
      <c r="F102" s="18" t="s">
        <v>10</v>
      </c>
      <c r="G102" s="7"/>
      <c r="H102" s="6" t="s">
        <v>297</v>
      </c>
      <c r="I102" s="6"/>
    </row>
    <row r="103" customFormat="false" ht="15" hidden="false" customHeight="false" outlineLevel="0" collapsed="false">
      <c r="A103" s="7" t="n">
        <v>102</v>
      </c>
      <c r="B103" s="6" t="s">
        <v>165</v>
      </c>
      <c r="C103" s="6" t="s">
        <v>397</v>
      </c>
      <c r="D103" s="16" t="s">
        <v>55</v>
      </c>
      <c r="E103" s="6"/>
      <c r="F103" s="17" t="s">
        <v>9</v>
      </c>
      <c r="G103" s="7" t="s">
        <v>101</v>
      </c>
      <c r="H103" s="6"/>
      <c r="I103" s="6" t="s">
        <v>398</v>
      </c>
    </row>
    <row r="104" customFormat="false" ht="15" hidden="false" customHeight="false" outlineLevel="0" collapsed="false">
      <c r="A104" s="7" t="n">
        <v>103</v>
      </c>
      <c r="B104" s="6" t="s">
        <v>165</v>
      </c>
      <c r="C104" s="6" t="s">
        <v>399</v>
      </c>
      <c r="D104" s="16" t="s">
        <v>55</v>
      </c>
      <c r="E104" s="6"/>
      <c r="F104" s="16" t="s">
        <v>8</v>
      </c>
      <c r="G104" s="7" t="s">
        <v>103</v>
      </c>
      <c r="H104" s="6"/>
      <c r="I104" s="6"/>
    </row>
    <row r="105" customFormat="false" ht="15" hidden="false" customHeight="false" outlineLevel="0" collapsed="false">
      <c r="A105" s="7" t="n">
        <v>104</v>
      </c>
      <c r="B105" s="6" t="s">
        <v>165</v>
      </c>
      <c r="C105" s="6" t="s">
        <v>400</v>
      </c>
      <c r="D105" s="16" t="s">
        <v>55</v>
      </c>
      <c r="E105" s="6"/>
      <c r="F105" s="17" t="s">
        <v>9</v>
      </c>
      <c r="G105" s="7" t="s">
        <v>105</v>
      </c>
      <c r="H105" s="6"/>
      <c r="I105" s="6" t="s">
        <v>305</v>
      </c>
    </row>
    <row r="106" customFormat="false" ht="15" hidden="false" customHeight="false" outlineLevel="0" collapsed="false">
      <c r="A106" s="7" t="n">
        <v>105</v>
      </c>
      <c r="B106" s="6" t="s">
        <v>165</v>
      </c>
      <c r="C106" s="6" t="s">
        <v>401</v>
      </c>
      <c r="D106" s="18" t="s">
        <v>185</v>
      </c>
      <c r="E106" s="6"/>
      <c r="F106" s="18" t="s">
        <v>10</v>
      </c>
      <c r="G106" s="7"/>
      <c r="H106" s="6" t="s">
        <v>280</v>
      </c>
      <c r="I106" s="6" t="s">
        <v>308</v>
      </c>
    </row>
    <row r="107" customFormat="false" ht="15" hidden="false" customHeight="false" outlineLevel="0" collapsed="false">
      <c r="A107" s="7" t="n">
        <v>106</v>
      </c>
      <c r="B107" s="6" t="s">
        <v>165</v>
      </c>
      <c r="C107" s="6" t="s">
        <v>402</v>
      </c>
      <c r="D107" s="16" t="s">
        <v>55</v>
      </c>
      <c r="E107" s="6"/>
      <c r="F107" s="17" t="s">
        <v>9</v>
      </c>
      <c r="G107" s="7" t="s">
        <v>311</v>
      </c>
      <c r="H107" s="6"/>
      <c r="I107" s="6" t="s">
        <v>312</v>
      </c>
    </row>
    <row r="108" customFormat="false" ht="15" hidden="false" customHeight="false" outlineLevel="0" collapsed="false">
      <c r="A108" s="7" t="n">
        <v>107</v>
      </c>
      <c r="B108" s="6" t="s">
        <v>165</v>
      </c>
      <c r="C108" s="6" t="s">
        <v>403</v>
      </c>
      <c r="D108" s="16" t="s">
        <v>55</v>
      </c>
      <c r="E108" s="6"/>
      <c r="F108" s="17" t="s">
        <v>9</v>
      </c>
      <c r="G108" s="7" t="s">
        <v>314</v>
      </c>
      <c r="H108" s="6"/>
      <c r="I108" s="6" t="s">
        <v>315</v>
      </c>
    </row>
    <row r="109" customFormat="false" ht="15" hidden="false" customHeight="false" outlineLevel="0" collapsed="false">
      <c r="A109" s="7" t="n">
        <v>108</v>
      </c>
      <c r="B109" s="6" t="s">
        <v>165</v>
      </c>
      <c r="C109" s="6" t="s">
        <v>404</v>
      </c>
      <c r="D109" s="16" t="s">
        <v>55</v>
      </c>
      <c r="E109" s="6"/>
      <c r="F109" s="16" t="s">
        <v>8</v>
      </c>
      <c r="G109" s="7" t="s">
        <v>319</v>
      </c>
      <c r="H109" s="6"/>
      <c r="I109" s="6" t="s">
        <v>405</v>
      </c>
    </row>
    <row r="110" customFormat="false" ht="15" hidden="false" customHeight="false" outlineLevel="0" collapsed="false">
      <c r="A110" s="7" t="n">
        <v>109</v>
      </c>
      <c r="B110" s="6" t="s">
        <v>165</v>
      </c>
      <c r="C110" s="6" t="s">
        <v>406</v>
      </c>
      <c r="D110" s="16" t="s">
        <v>55</v>
      </c>
      <c r="E110" s="6"/>
      <c r="F110" s="17" t="s">
        <v>9</v>
      </c>
      <c r="G110" s="7" t="s">
        <v>271</v>
      </c>
      <c r="H110" s="6"/>
      <c r="I110" s="6" t="s">
        <v>317</v>
      </c>
    </row>
    <row r="111" customFormat="false" ht="15" hidden="false" customHeight="false" outlineLevel="0" collapsed="false">
      <c r="A111" s="7" t="n">
        <v>110</v>
      </c>
      <c r="B111" s="6" t="s">
        <v>165</v>
      </c>
      <c r="C111" s="6" t="s">
        <v>407</v>
      </c>
      <c r="D111" s="16" t="s">
        <v>55</v>
      </c>
      <c r="E111" s="6"/>
      <c r="F111" s="18" t="s">
        <v>10</v>
      </c>
      <c r="G111" s="7"/>
      <c r="H111" s="6" t="s">
        <v>325</v>
      </c>
      <c r="I111" s="6"/>
    </row>
    <row r="112" customFormat="false" ht="15" hidden="false" customHeight="false" outlineLevel="0" collapsed="false">
      <c r="A112" s="7" t="n">
        <v>111</v>
      </c>
      <c r="B112" s="6" t="s">
        <v>165</v>
      </c>
      <c r="C112" s="6" t="s">
        <v>408</v>
      </c>
      <c r="D112" s="16" t="s">
        <v>55</v>
      </c>
      <c r="E112" s="6"/>
      <c r="F112" s="18" t="s">
        <v>10</v>
      </c>
      <c r="G112" s="7"/>
      <c r="H112" s="6" t="s">
        <v>325</v>
      </c>
      <c r="I112" s="6"/>
    </row>
    <row r="113" customFormat="false" ht="15" hidden="false" customHeight="false" outlineLevel="0" collapsed="false">
      <c r="A113" s="7" t="n">
        <v>112</v>
      </c>
      <c r="B113" s="6" t="s">
        <v>165</v>
      </c>
      <c r="C113" s="6" t="s">
        <v>409</v>
      </c>
      <c r="D113" s="16" t="s">
        <v>55</v>
      </c>
      <c r="E113" s="6"/>
      <c r="F113" s="18" t="s">
        <v>10</v>
      </c>
      <c r="G113" s="7"/>
      <c r="H113" s="6" t="s">
        <v>325</v>
      </c>
      <c r="I113" s="6"/>
    </row>
    <row r="114" customFormat="false" ht="15" hidden="false" customHeight="false" outlineLevel="0" collapsed="false">
      <c r="A114" s="7" t="n">
        <v>113</v>
      </c>
      <c r="B114" s="6" t="s">
        <v>165</v>
      </c>
      <c r="C114" s="6" t="s">
        <v>410</v>
      </c>
      <c r="D114" s="16" t="s">
        <v>55</v>
      </c>
      <c r="E114" s="6"/>
      <c r="F114" s="18" t="s">
        <v>10</v>
      </c>
      <c r="G114" s="7"/>
      <c r="H114" s="6" t="s">
        <v>325</v>
      </c>
      <c r="I114" s="6"/>
    </row>
    <row r="115" customFormat="false" ht="15" hidden="false" customHeight="false" outlineLevel="0" collapsed="false">
      <c r="A115" s="7" t="n">
        <v>114</v>
      </c>
      <c r="B115" s="6" t="s">
        <v>165</v>
      </c>
      <c r="C115" s="6" t="s">
        <v>411</v>
      </c>
      <c r="D115" s="16" t="s">
        <v>55</v>
      </c>
      <c r="E115" s="6"/>
      <c r="F115" s="18" t="s">
        <v>10</v>
      </c>
      <c r="G115" s="7"/>
      <c r="H115" s="6" t="s">
        <v>325</v>
      </c>
      <c r="I115" s="6"/>
    </row>
    <row r="116" customFormat="false" ht="15" hidden="false" customHeight="false" outlineLevel="0" collapsed="false">
      <c r="A116" s="7" t="n">
        <v>115</v>
      </c>
      <c r="B116" s="6" t="s">
        <v>165</v>
      </c>
      <c r="C116" s="6" t="s">
        <v>412</v>
      </c>
      <c r="D116" s="16" t="s">
        <v>55</v>
      </c>
      <c r="E116" s="6"/>
      <c r="F116" s="18" t="s">
        <v>10</v>
      </c>
      <c r="G116" s="7"/>
      <c r="H116" s="6" t="s">
        <v>325</v>
      </c>
      <c r="I116" s="6"/>
    </row>
    <row r="117" customFormat="false" ht="15" hidden="false" customHeight="false" outlineLevel="0" collapsed="false">
      <c r="A117" s="7" t="n">
        <v>116</v>
      </c>
      <c r="B117" s="6" t="s">
        <v>165</v>
      </c>
      <c r="C117" s="6" t="s">
        <v>413</v>
      </c>
      <c r="D117" s="16" t="s">
        <v>55</v>
      </c>
      <c r="E117" s="6"/>
      <c r="F117" s="18" t="s">
        <v>10</v>
      </c>
      <c r="G117" s="7"/>
      <c r="H117" s="6" t="s">
        <v>280</v>
      </c>
      <c r="I117" s="6"/>
    </row>
    <row r="118" customFormat="false" ht="15" hidden="false" customHeight="false" outlineLevel="0" collapsed="false">
      <c r="A118" s="7" t="n">
        <v>117</v>
      </c>
      <c r="B118" s="6" t="s">
        <v>165</v>
      </c>
      <c r="C118" s="6" t="s">
        <v>414</v>
      </c>
      <c r="D118" s="16" t="s">
        <v>55</v>
      </c>
      <c r="E118" s="6"/>
      <c r="F118" s="18" t="s">
        <v>10</v>
      </c>
      <c r="G118" s="7"/>
      <c r="H118" s="6" t="s">
        <v>325</v>
      </c>
      <c r="I118" s="6"/>
    </row>
    <row r="119" customFormat="false" ht="15" hidden="false" customHeight="false" outlineLevel="0" collapsed="false">
      <c r="A119" s="7" t="n">
        <v>118</v>
      </c>
      <c r="B119" s="6" t="s">
        <v>165</v>
      </c>
      <c r="C119" s="6" t="s">
        <v>415</v>
      </c>
      <c r="D119" s="16" t="s">
        <v>55</v>
      </c>
      <c r="E119" s="6"/>
      <c r="F119" s="18" t="s">
        <v>10</v>
      </c>
      <c r="G119" s="7"/>
      <c r="H119" s="6" t="s">
        <v>280</v>
      </c>
      <c r="I119" s="6"/>
    </row>
    <row r="120" customFormat="false" ht="15" hidden="false" customHeight="false" outlineLevel="0" collapsed="false">
      <c r="A120" s="7" t="n">
        <v>119</v>
      </c>
      <c r="B120" s="6" t="s">
        <v>165</v>
      </c>
      <c r="C120" s="6" t="s">
        <v>416</v>
      </c>
      <c r="D120" s="16" t="s">
        <v>55</v>
      </c>
      <c r="E120" s="6"/>
      <c r="F120" s="18" t="s">
        <v>10</v>
      </c>
      <c r="G120" s="7"/>
      <c r="H120" s="6" t="s">
        <v>325</v>
      </c>
      <c r="I120" s="6"/>
    </row>
    <row r="121" customFormat="false" ht="15" hidden="false" customHeight="false" outlineLevel="0" collapsed="false">
      <c r="A121" s="7" t="n">
        <v>120</v>
      </c>
      <c r="B121" s="6" t="s">
        <v>165</v>
      </c>
      <c r="C121" s="6" t="s">
        <v>417</v>
      </c>
      <c r="D121" s="16" t="s">
        <v>55</v>
      </c>
      <c r="E121" s="6"/>
      <c r="F121" s="18" t="s">
        <v>10</v>
      </c>
      <c r="G121" s="7"/>
      <c r="H121" s="6" t="s">
        <v>418</v>
      </c>
      <c r="I121" s="6" t="s">
        <v>419</v>
      </c>
    </row>
    <row r="122" customFormat="false" ht="15" hidden="false" customHeight="false" outlineLevel="0" collapsed="false">
      <c r="A122" s="7" t="n">
        <v>121</v>
      </c>
      <c r="B122" s="6" t="s">
        <v>165</v>
      </c>
      <c r="C122" s="6" t="s">
        <v>420</v>
      </c>
      <c r="D122" s="16" t="s">
        <v>55</v>
      </c>
      <c r="E122" s="6"/>
      <c r="F122" s="18" t="s">
        <v>10</v>
      </c>
      <c r="G122" s="7"/>
      <c r="H122" s="6" t="s">
        <v>418</v>
      </c>
      <c r="I122" s="6" t="s">
        <v>419</v>
      </c>
    </row>
    <row r="123" customFormat="false" ht="15" hidden="false" customHeight="false" outlineLevel="0" collapsed="false">
      <c r="A123" s="7" t="n">
        <v>122</v>
      </c>
      <c r="B123" s="6" t="s">
        <v>165</v>
      </c>
      <c r="C123" s="6" t="s">
        <v>421</v>
      </c>
      <c r="D123" s="16" t="s">
        <v>55</v>
      </c>
      <c r="E123" s="6"/>
      <c r="F123" s="18" t="s">
        <v>10</v>
      </c>
      <c r="G123" s="7"/>
      <c r="H123" s="6" t="s">
        <v>418</v>
      </c>
      <c r="I123" s="6" t="s">
        <v>419</v>
      </c>
    </row>
    <row r="124" customFormat="false" ht="15" hidden="false" customHeight="false" outlineLevel="0" collapsed="false">
      <c r="A124" s="7" t="n">
        <v>123</v>
      </c>
      <c r="B124" s="6" t="s">
        <v>165</v>
      </c>
      <c r="C124" s="6" t="s">
        <v>422</v>
      </c>
      <c r="D124" s="16" t="s">
        <v>55</v>
      </c>
      <c r="E124" s="6"/>
      <c r="F124" s="18" t="s">
        <v>10</v>
      </c>
      <c r="G124" s="7"/>
      <c r="H124" s="6" t="s">
        <v>418</v>
      </c>
      <c r="I124" s="6" t="s">
        <v>419</v>
      </c>
    </row>
    <row r="125" customFormat="false" ht="15" hidden="false" customHeight="false" outlineLevel="0" collapsed="false">
      <c r="A125" s="7" t="n">
        <v>124</v>
      </c>
      <c r="B125" s="6" t="s">
        <v>165</v>
      </c>
      <c r="C125" s="6" t="s">
        <v>423</v>
      </c>
      <c r="D125" s="16" t="s">
        <v>55</v>
      </c>
      <c r="E125" s="6"/>
      <c r="F125" s="18" t="s">
        <v>10</v>
      </c>
      <c r="G125" s="7"/>
      <c r="H125" s="6" t="s">
        <v>418</v>
      </c>
      <c r="I125" s="6" t="s">
        <v>419</v>
      </c>
    </row>
    <row r="126" customFormat="false" ht="15" hidden="false" customHeight="false" outlineLevel="0" collapsed="false">
      <c r="A126" s="7" t="n">
        <v>125</v>
      </c>
      <c r="B126" s="6" t="s">
        <v>165</v>
      </c>
      <c r="C126" s="6" t="s">
        <v>424</v>
      </c>
      <c r="D126" s="16" t="s">
        <v>55</v>
      </c>
      <c r="E126" s="6"/>
      <c r="F126" s="18" t="s">
        <v>10</v>
      </c>
      <c r="G126" s="7"/>
      <c r="H126" s="6" t="s">
        <v>325</v>
      </c>
      <c r="I126" s="6"/>
    </row>
    <row r="127" customFormat="false" ht="15" hidden="false" customHeight="false" outlineLevel="0" collapsed="false">
      <c r="A127" s="7" t="n">
        <v>126</v>
      </c>
      <c r="B127" s="6" t="s">
        <v>165</v>
      </c>
      <c r="C127" s="6" t="s">
        <v>425</v>
      </c>
      <c r="D127" s="16" t="s">
        <v>55</v>
      </c>
      <c r="E127" s="6"/>
      <c r="F127" s="17" t="s">
        <v>9</v>
      </c>
      <c r="G127" s="7" t="s">
        <v>426</v>
      </c>
      <c r="H127" s="6"/>
      <c r="I127" s="6" t="s">
        <v>427</v>
      </c>
    </row>
  </sheetData>
  <autoFilter ref="A1:I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39.55" hidden="false" customHeight="fals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customFormat="false" ht="23.85" hidden="false" customHeight="false" outlineLevel="0" collapsed="false">
      <c r="A2" s="7" t="n">
        <v>1</v>
      </c>
      <c r="B2" s="6" t="s">
        <v>428</v>
      </c>
      <c r="C2" s="6" t="s">
        <v>429</v>
      </c>
      <c r="D2" s="18" t="s">
        <v>185</v>
      </c>
      <c r="E2" s="6" t="s">
        <v>430</v>
      </c>
      <c r="F2" s="16" t="s">
        <v>8</v>
      </c>
      <c r="G2" s="7" t="s">
        <v>431</v>
      </c>
      <c r="H2" s="6"/>
      <c r="I2" s="6" t="s">
        <v>432</v>
      </c>
    </row>
    <row r="3" customFormat="false" ht="15" hidden="false" customHeight="false" outlineLevel="0" collapsed="false">
      <c r="A3" s="7" t="n">
        <v>2</v>
      </c>
      <c r="B3" s="6" t="s">
        <v>428</v>
      </c>
      <c r="C3" s="6" t="s">
        <v>433</v>
      </c>
      <c r="D3" s="16" t="s">
        <v>55</v>
      </c>
      <c r="E3" s="6"/>
      <c r="F3" s="18" t="s">
        <v>10</v>
      </c>
      <c r="G3" s="7"/>
      <c r="H3" s="6" t="s">
        <v>434</v>
      </c>
      <c r="I3" s="6"/>
    </row>
    <row r="4" customFormat="false" ht="23.85" hidden="false" customHeight="false" outlineLevel="0" collapsed="false">
      <c r="A4" s="7" t="n">
        <v>3</v>
      </c>
      <c r="B4" s="6" t="s">
        <v>428</v>
      </c>
      <c r="C4" s="6" t="s">
        <v>435</v>
      </c>
      <c r="D4" s="18" t="s">
        <v>185</v>
      </c>
      <c r="E4" s="6" t="s">
        <v>436</v>
      </c>
      <c r="F4" s="18" t="s">
        <v>10</v>
      </c>
      <c r="G4" s="7"/>
      <c r="H4" s="6" t="s">
        <v>437</v>
      </c>
      <c r="I4" s="6"/>
    </row>
    <row r="5" customFormat="false" ht="15" hidden="false" customHeight="false" outlineLevel="0" collapsed="false">
      <c r="A5" s="7" t="n">
        <v>4</v>
      </c>
      <c r="B5" s="6" t="s">
        <v>428</v>
      </c>
      <c r="C5" s="6" t="s">
        <v>438</v>
      </c>
      <c r="D5" s="16" t="s">
        <v>55</v>
      </c>
      <c r="E5" s="6"/>
      <c r="F5" s="18" t="s">
        <v>10</v>
      </c>
      <c r="G5" s="7"/>
      <c r="H5" s="6" t="s">
        <v>439</v>
      </c>
      <c r="I5" s="6"/>
    </row>
    <row r="6" customFormat="false" ht="15" hidden="false" customHeight="false" outlineLevel="0" collapsed="false">
      <c r="A6" s="7" t="n">
        <v>5</v>
      </c>
      <c r="B6" s="6" t="s">
        <v>428</v>
      </c>
      <c r="C6" s="6" t="s">
        <v>440</v>
      </c>
      <c r="D6" s="16" t="s">
        <v>55</v>
      </c>
      <c r="E6" s="6"/>
      <c r="F6" s="18" t="s">
        <v>10</v>
      </c>
      <c r="G6" s="7"/>
      <c r="H6" s="6" t="s">
        <v>439</v>
      </c>
      <c r="I6" s="6"/>
    </row>
    <row r="7" customFormat="false" ht="23.85" hidden="false" customHeight="false" outlineLevel="0" collapsed="false">
      <c r="A7" s="7" t="n">
        <v>6</v>
      </c>
      <c r="B7" s="6" t="s">
        <v>441</v>
      </c>
      <c r="C7" s="6" t="s">
        <v>442</v>
      </c>
      <c r="D7" s="18" t="s">
        <v>185</v>
      </c>
      <c r="E7" s="6" t="s">
        <v>436</v>
      </c>
      <c r="F7" s="18" t="s">
        <v>10</v>
      </c>
      <c r="G7" s="7"/>
      <c r="H7" s="6" t="s">
        <v>437</v>
      </c>
      <c r="I7" s="6"/>
    </row>
    <row r="8" customFormat="false" ht="23.85" hidden="false" customHeight="false" outlineLevel="0" collapsed="false">
      <c r="A8" s="7" t="n">
        <v>7</v>
      </c>
      <c r="B8" s="6" t="s">
        <v>441</v>
      </c>
      <c r="C8" s="6" t="s">
        <v>443</v>
      </c>
      <c r="D8" s="18" t="s">
        <v>185</v>
      </c>
      <c r="E8" s="6" t="s">
        <v>436</v>
      </c>
      <c r="F8" s="18" t="s">
        <v>10</v>
      </c>
      <c r="G8" s="7"/>
      <c r="H8" s="6" t="s">
        <v>437</v>
      </c>
      <c r="I8" s="6"/>
    </row>
    <row r="9" customFormat="false" ht="23.85" hidden="false" customHeight="false" outlineLevel="0" collapsed="false">
      <c r="A9" s="7" t="n">
        <v>8</v>
      </c>
      <c r="B9" s="6" t="s">
        <v>441</v>
      </c>
      <c r="C9" s="6" t="s">
        <v>444</v>
      </c>
      <c r="D9" s="18" t="s">
        <v>185</v>
      </c>
      <c r="E9" s="6" t="s">
        <v>436</v>
      </c>
      <c r="F9" s="18" t="s">
        <v>10</v>
      </c>
      <c r="G9" s="7"/>
      <c r="H9" s="6" t="s">
        <v>437</v>
      </c>
      <c r="I9" s="6"/>
    </row>
    <row r="10" customFormat="false" ht="15" hidden="false" customHeight="false" outlineLevel="0" collapsed="false">
      <c r="A10" s="7" t="n">
        <v>9</v>
      </c>
      <c r="B10" s="6" t="s">
        <v>441</v>
      </c>
      <c r="C10" s="6" t="s">
        <v>445</v>
      </c>
      <c r="D10" s="16" t="s">
        <v>55</v>
      </c>
      <c r="E10" s="6"/>
      <c r="F10" s="18" t="s">
        <v>10</v>
      </c>
      <c r="G10" s="7"/>
      <c r="H10" s="6" t="s">
        <v>437</v>
      </c>
      <c r="I10" s="6"/>
    </row>
    <row r="11" customFormat="false" ht="15" hidden="false" customHeight="false" outlineLevel="0" collapsed="false">
      <c r="A11" s="7" t="n">
        <v>10</v>
      </c>
      <c r="B11" s="6" t="s">
        <v>446</v>
      </c>
      <c r="C11" s="6" t="s">
        <v>447</v>
      </c>
      <c r="D11" s="16" t="s">
        <v>55</v>
      </c>
      <c r="E11" s="6"/>
      <c r="F11" s="16" t="s">
        <v>8</v>
      </c>
      <c r="G11" s="7" t="s">
        <v>99</v>
      </c>
      <c r="H11" s="6"/>
      <c r="I11" s="6"/>
    </row>
    <row r="12" customFormat="false" ht="15" hidden="false" customHeight="false" outlineLevel="0" collapsed="false">
      <c r="A12" s="7" t="n">
        <v>11</v>
      </c>
      <c r="B12" s="6" t="s">
        <v>446</v>
      </c>
      <c r="C12" s="6" t="s">
        <v>448</v>
      </c>
      <c r="D12" s="16" t="s">
        <v>55</v>
      </c>
      <c r="E12" s="6"/>
      <c r="F12" s="18" t="s">
        <v>10</v>
      </c>
      <c r="G12" s="7"/>
      <c r="H12" s="6" t="s">
        <v>434</v>
      </c>
      <c r="I12" s="6"/>
    </row>
    <row r="13" customFormat="false" ht="15" hidden="false" customHeight="false" outlineLevel="0" collapsed="false">
      <c r="A13" s="7" t="n">
        <v>12</v>
      </c>
      <c r="B13" s="6" t="s">
        <v>446</v>
      </c>
      <c r="C13" s="6" t="s">
        <v>449</v>
      </c>
      <c r="D13" s="18" t="s">
        <v>185</v>
      </c>
      <c r="E13" s="6" t="s">
        <v>450</v>
      </c>
      <c r="F13" s="17" t="s">
        <v>9</v>
      </c>
      <c r="G13" s="7" t="s">
        <v>451</v>
      </c>
      <c r="H13" s="6"/>
      <c r="I13" s="6" t="s">
        <v>452</v>
      </c>
    </row>
    <row r="14" customFormat="false" ht="15" hidden="false" customHeight="false" outlineLevel="0" collapsed="false">
      <c r="A14" s="7" t="n">
        <v>13</v>
      </c>
      <c r="B14" s="6" t="s">
        <v>446</v>
      </c>
      <c r="C14" s="6" t="s">
        <v>453</v>
      </c>
      <c r="D14" s="16" t="s">
        <v>55</v>
      </c>
      <c r="E14" s="6"/>
      <c r="F14" s="18" t="s">
        <v>10</v>
      </c>
      <c r="G14" s="7"/>
      <c r="H14" s="6" t="s">
        <v>439</v>
      </c>
      <c r="I14" s="6"/>
    </row>
    <row r="15" customFormat="false" ht="23.85" hidden="false" customHeight="false" outlineLevel="0" collapsed="false">
      <c r="A15" s="7" t="n">
        <v>14</v>
      </c>
      <c r="B15" s="6" t="s">
        <v>454</v>
      </c>
      <c r="C15" s="6" t="s">
        <v>455</v>
      </c>
      <c r="D15" s="16" t="s">
        <v>55</v>
      </c>
      <c r="E15" s="6"/>
      <c r="F15" s="16" t="s">
        <v>8</v>
      </c>
      <c r="G15" s="7" t="s">
        <v>97</v>
      </c>
      <c r="H15" s="6"/>
      <c r="I15" s="6" t="s">
        <v>456</v>
      </c>
    </row>
    <row r="16" customFormat="false" ht="15" hidden="false" customHeight="false" outlineLevel="0" collapsed="false">
      <c r="A16" s="7" t="n">
        <v>15</v>
      </c>
      <c r="B16" s="6" t="s">
        <v>454</v>
      </c>
      <c r="C16" s="6" t="s">
        <v>457</v>
      </c>
      <c r="D16" s="16" t="s">
        <v>55</v>
      </c>
      <c r="E16" s="6"/>
      <c r="F16" s="18" t="s">
        <v>10</v>
      </c>
      <c r="G16" s="7"/>
      <c r="H16" s="6" t="s">
        <v>458</v>
      </c>
      <c r="I16" s="6"/>
    </row>
    <row r="17" customFormat="false" ht="15" hidden="false" customHeight="false" outlineLevel="0" collapsed="false">
      <c r="A17" s="7" t="n">
        <v>16</v>
      </c>
      <c r="B17" s="6" t="s">
        <v>454</v>
      </c>
      <c r="C17" s="6" t="s">
        <v>459</v>
      </c>
      <c r="D17" s="18" t="s">
        <v>185</v>
      </c>
      <c r="E17" s="6" t="s">
        <v>460</v>
      </c>
      <c r="F17" s="18" t="s">
        <v>10</v>
      </c>
      <c r="G17" s="7"/>
      <c r="H17" s="6" t="s">
        <v>458</v>
      </c>
      <c r="I17" s="6"/>
    </row>
    <row r="18" customFormat="false" ht="15" hidden="false" customHeight="false" outlineLevel="0" collapsed="false">
      <c r="A18" s="7" t="n">
        <v>17</v>
      </c>
      <c r="B18" s="6" t="s">
        <v>454</v>
      </c>
      <c r="C18" s="6" t="s">
        <v>461</v>
      </c>
      <c r="D18" s="16" t="s">
        <v>55</v>
      </c>
      <c r="E18" s="6"/>
      <c r="F18" s="17" t="s">
        <v>9</v>
      </c>
      <c r="G18" s="7" t="s">
        <v>273</v>
      </c>
      <c r="H18" s="6"/>
      <c r="I18" s="6" t="s">
        <v>462</v>
      </c>
    </row>
    <row r="19" customFormat="false" ht="15" hidden="false" customHeight="false" outlineLevel="0" collapsed="false">
      <c r="A19" s="7" t="n">
        <v>18</v>
      </c>
      <c r="B19" s="6" t="s">
        <v>454</v>
      </c>
      <c r="C19" s="6" t="s">
        <v>463</v>
      </c>
      <c r="D19" s="16" t="s">
        <v>55</v>
      </c>
      <c r="E19" s="6"/>
      <c r="F19" s="17" t="s">
        <v>9</v>
      </c>
      <c r="G19" s="7" t="s">
        <v>273</v>
      </c>
      <c r="H19" s="6"/>
      <c r="I19" s="6" t="s">
        <v>462</v>
      </c>
    </row>
    <row r="20" customFormat="false" ht="15" hidden="false" customHeight="false" outlineLevel="0" collapsed="false">
      <c r="A20" s="7" t="n">
        <v>19</v>
      </c>
      <c r="B20" s="6" t="s">
        <v>454</v>
      </c>
      <c r="C20" s="6" t="s">
        <v>464</v>
      </c>
      <c r="D20" s="16" t="s">
        <v>55</v>
      </c>
      <c r="E20" s="6"/>
      <c r="F20" s="18" t="s">
        <v>10</v>
      </c>
      <c r="G20" s="7"/>
      <c r="H20" s="6" t="s">
        <v>458</v>
      </c>
      <c r="I20" s="6"/>
    </row>
    <row r="21" customFormat="false" ht="15" hidden="false" customHeight="false" outlineLevel="0" collapsed="false">
      <c r="A21" s="7" t="n">
        <v>20</v>
      </c>
      <c r="B21" s="6" t="s">
        <v>454</v>
      </c>
      <c r="C21" s="6" t="s">
        <v>465</v>
      </c>
      <c r="D21" s="16" t="s">
        <v>55</v>
      </c>
      <c r="E21" s="6"/>
      <c r="F21" s="18" t="s">
        <v>10</v>
      </c>
      <c r="G21" s="7"/>
      <c r="H21" s="6" t="s">
        <v>458</v>
      </c>
      <c r="I21" s="6"/>
    </row>
    <row r="22" customFormat="false" ht="15" hidden="false" customHeight="false" outlineLevel="0" collapsed="false">
      <c r="A22" s="7" t="n">
        <v>21</v>
      </c>
      <c r="B22" s="6" t="s">
        <v>466</v>
      </c>
      <c r="C22" s="6" t="s">
        <v>467</v>
      </c>
      <c r="D22" s="16" t="s">
        <v>55</v>
      </c>
      <c r="E22" s="6"/>
      <c r="F22" s="18" t="s">
        <v>10</v>
      </c>
      <c r="G22" s="7"/>
      <c r="H22" s="6" t="s">
        <v>280</v>
      </c>
      <c r="I22" s="6"/>
    </row>
    <row r="23" customFormat="false" ht="15" hidden="false" customHeight="false" outlineLevel="0" collapsed="false">
      <c r="A23" s="7" t="n">
        <v>22</v>
      </c>
      <c r="B23" s="6" t="s">
        <v>466</v>
      </c>
      <c r="C23" s="6" t="s">
        <v>468</v>
      </c>
      <c r="D23" s="18" t="s">
        <v>185</v>
      </c>
      <c r="E23" s="6"/>
      <c r="F23" s="18" t="s">
        <v>10</v>
      </c>
      <c r="G23" s="7"/>
      <c r="H23" s="6" t="s">
        <v>280</v>
      </c>
      <c r="I23" s="6"/>
    </row>
    <row r="24" customFormat="false" ht="15" hidden="false" customHeight="false" outlineLevel="0" collapsed="false">
      <c r="A24" s="7" t="n">
        <v>23</v>
      </c>
      <c r="B24" s="6" t="s">
        <v>466</v>
      </c>
      <c r="C24" s="6" t="s">
        <v>469</v>
      </c>
      <c r="D24" s="16" t="s">
        <v>55</v>
      </c>
      <c r="E24" s="6"/>
      <c r="F24" s="17" t="s">
        <v>9</v>
      </c>
      <c r="G24" s="7" t="s">
        <v>105</v>
      </c>
      <c r="H24" s="6"/>
      <c r="I24" s="6" t="s">
        <v>470</v>
      </c>
    </row>
    <row r="25" customFormat="false" ht="15" hidden="false" customHeight="false" outlineLevel="0" collapsed="false">
      <c r="A25" s="7" t="n">
        <v>24</v>
      </c>
      <c r="B25" s="6" t="s">
        <v>125</v>
      </c>
      <c r="C25" s="6" t="s">
        <v>471</v>
      </c>
      <c r="D25" s="16" t="s">
        <v>55</v>
      </c>
      <c r="E25" s="6"/>
      <c r="F25" s="16" t="s">
        <v>8</v>
      </c>
      <c r="G25" s="7" t="s">
        <v>86</v>
      </c>
      <c r="H25" s="6"/>
      <c r="I25" s="6"/>
    </row>
    <row r="26" customFormat="false" ht="15" hidden="false" customHeight="false" outlineLevel="0" collapsed="false">
      <c r="A26" s="7" t="n">
        <v>25</v>
      </c>
      <c r="B26" s="6" t="s">
        <v>125</v>
      </c>
      <c r="C26" s="6" t="s">
        <v>472</v>
      </c>
      <c r="D26" s="16" t="s">
        <v>55</v>
      </c>
      <c r="E26" s="6"/>
      <c r="F26" s="16" t="s">
        <v>8</v>
      </c>
      <c r="G26" s="7" t="s">
        <v>101</v>
      </c>
      <c r="H26" s="6"/>
      <c r="I26" s="6"/>
    </row>
    <row r="27" customFormat="false" ht="15" hidden="false" customHeight="false" outlineLevel="0" collapsed="false">
      <c r="A27" s="7" t="n">
        <v>26</v>
      </c>
      <c r="B27" s="6" t="s">
        <v>125</v>
      </c>
      <c r="C27" s="6" t="s">
        <v>473</v>
      </c>
      <c r="D27" s="16" t="s">
        <v>55</v>
      </c>
      <c r="E27" s="6"/>
      <c r="F27" s="17" t="s">
        <v>9</v>
      </c>
      <c r="G27" s="7" t="s">
        <v>127</v>
      </c>
      <c r="H27" s="6"/>
      <c r="I27" s="6" t="s">
        <v>474</v>
      </c>
    </row>
    <row r="28" customFormat="false" ht="15" hidden="false" customHeight="false" outlineLevel="0" collapsed="false">
      <c r="A28" s="7" t="n">
        <v>27</v>
      </c>
      <c r="B28" s="6" t="s">
        <v>125</v>
      </c>
      <c r="C28" s="6" t="s">
        <v>475</v>
      </c>
      <c r="D28" s="16" t="s">
        <v>55</v>
      </c>
      <c r="E28" s="6"/>
      <c r="F28" s="17" t="s">
        <v>9</v>
      </c>
      <c r="G28" s="7" t="s">
        <v>273</v>
      </c>
      <c r="H28" s="6"/>
      <c r="I28" s="6" t="s">
        <v>476</v>
      </c>
    </row>
    <row r="29" customFormat="false" ht="15" hidden="false" customHeight="false" outlineLevel="0" collapsed="false">
      <c r="A29" s="7" t="n">
        <v>28</v>
      </c>
      <c r="B29" s="6" t="s">
        <v>125</v>
      </c>
      <c r="C29" s="6" t="s">
        <v>477</v>
      </c>
      <c r="D29" s="16" t="s">
        <v>55</v>
      </c>
      <c r="E29" s="6"/>
      <c r="F29" s="18" t="s">
        <v>10</v>
      </c>
      <c r="G29" s="7"/>
      <c r="H29" s="6" t="s">
        <v>458</v>
      </c>
      <c r="I29" s="6"/>
    </row>
    <row r="30" customFormat="false" ht="15" hidden="false" customHeight="false" outlineLevel="0" collapsed="false">
      <c r="A30" s="7" t="n">
        <v>29</v>
      </c>
      <c r="B30" s="6" t="s">
        <v>125</v>
      </c>
      <c r="C30" s="6" t="s">
        <v>478</v>
      </c>
      <c r="D30" s="16" t="s">
        <v>55</v>
      </c>
      <c r="E30" s="6"/>
      <c r="F30" s="18" t="s">
        <v>10</v>
      </c>
      <c r="G30" s="7"/>
      <c r="H30" s="6" t="s">
        <v>458</v>
      </c>
      <c r="I30" s="6"/>
    </row>
    <row r="31" customFormat="false" ht="15" hidden="false" customHeight="false" outlineLevel="0" collapsed="false">
      <c r="A31" s="7" t="n">
        <v>30</v>
      </c>
      <c r="B31" s="6" t="s">
        <v>479</v>
      </c>
      <c r="C31" s="6" t="s">
        <v>480</v>
      </c>
      <c r="D31" s="18" t="s">
        <v>185</v>
      </c>
      <c r="E31" s="6"/>
      <c r="F31" s="18" t="s">
        <v>10</v>
      </c>
      <c r="G31" s="7"/>
      <c r="H31" s="6" t="s">
        <v>434</v>
      </c>
      <c r="I31" s="6"/>
    </row>
    <row r="32" customFormat="false" ht="15" hidden="false" customHeight="false" outlineLevel="0" collapsed="false">
      <c r="A32" s="7" t="n">
        <v>31</v>
      </c>
      <c r="B32" s="6" t="s">
        <v>479</v>
      </c>
      <c r="C32" s="6" t="s">
        <v>481</v>
      </c>
      <c r="D32" s="18" t="s">
        <v>185</v>
      </c>
      <c r="E32" s="6"/>
      <c r="F32" s="17" t="s">
        <v>9</v>
      </c>
      <c r="G32" s="7" t="s">
        <v>273</v>
      </c>
      <c r="H32" s="6"/>
      <c r="I32" s="6" t="s">
        <v>482</v>
      </c>
    </row>
    <row r="33" customFormat="false" ht="15" hidden="false" customHeight="false" outlineLevel="0" collapsed="false">
      <c r="A33" s="7" t="n">
        <v>32</v>
      </c>
      <c r="B33" s="6" t="s">
        <v>479</v>
      </c>
      <c r="C33" s="6" t="s">
        <v>483</v>
      </c>
      <c r="D33" s="16" t="s">
        <v>55</v>
      </c>
      <c r="E33" s="6"/>
      <c r="F33" s="17" t="s">
        <v>9</v>
      </c>
      <c r="G33" s="7" t="s">
        <v>484</v>
      </c>
      <c r="H33" s="6"/>
      <c r="I33" s="6" t="s">
        <v>485</v>
      </c>
    </row>
    <row r="34" customFormat="false" ht="15" hidden="false" customHeight="false" outlineLevel="0" collapsed="false">
      <c r="A34" s="7" t="n">
        <v>33</v>
      </c>
      <c r="B34" s="6" t="s">
        <v>479</v>
      </c>
      <c r="C34" s="6" t="s">
        <v>486</v>
      </c>
      <c r="D34" s="16" t="s">
        <v>55</v>
      </c>
      <c r="E34" s="6"/>
      <c r="F34" s="18" t="s">
        <v>10</v>
      </c>
      <c r="G34" s="7"/>
      <c r="H34" s="6" t="s">
        <v>458</v>
      </c>
      <c r="I34" s="6"/>
    </row>
    <row r="35" customFormat="false" ht="15" hidden="false" customHeight="false" outlineLevel="0" collapsed="false">
      <c r="A35" s="7" t="n">
        <v>34</v>
      </c>
      <c r="B35" s="6" t="s">
        <v>487</v>
      </c>
      <c r="C35" s="6" t="s">
        <v>488</v>
      </c>
      <c r="D35" s="16" t="s">
        <v>55</v>
      </c>
      <c r="E35" s="6"/>
      <c r="F35" s="18" t="s">
        <v>10</v>
      </c>
      <c r="G35" s="7"/>
      <c r="H35" s="6" t="s">
        <v>489</v>
      </c>
      <c r="I35" s="6"/>
    </row>
    <row r="36" customFormat="false" ht="15" hidden="false" customHeight="false" outlineLevel="0" collapsed="false">
      <c r="A36" s="7" t="n">
        <v>35</v>
      </c>
      <c r="B36" s="6" t="s">
        <v>487</v>
      </c>
      <c r="C36" s="6" t="s">
        <v>490</v>
      </c>
      <c r="D36" s="16" t="s">
        <v>55</v>
      </c>
      <c r="E36" s="6"/>
      <c r="F36" s="18" t="s">
        <v>10</v>
      </c>
      <c r="G36" s="7"/>
      <c r="H36" s="6" t="s">
        <v>489</v>
      </c>
      <c r="I36" s="6"/>
    </row>
    <row r="37" customFormat="false" ht="15" hidden="false" customHeight="false" outlineLevel="0" collapsed="false">
      <c r="A37" s="7" t="n">
        <v>36</v>
      </c>
      <c r="B37" s="6" t="s">
        <v>487</v>
      </c>
      <c r="C37" s="6" t="s">
        <v>491</v>
      </c>
      <c r="D37" s="16" t="s">
        <v>55</v>
      </c>
      <c r="E37" s="6"/>
      <c r="F37" s="18" t="s">
        <v>10</v>
      </c>
      <c r="G37" s="7"/>
      <c r="H37" s="6" t="s">
        <v>489</v>
      </c>
      <c r="I37" s="6"/>
    </row>
    <row r="38" customFormat="false" ht="15" hidden="false" customHeight="false" outlineLevel="0" collapsed="false">
      <c r="A38" s="7" t="n">
        <v>37</v>
      </c>
      <c r="B38" s="6" t="s">
        <v>487</v>
      </c>
      <c r="C38" s="6" t="s">
        <v>492</v>
      </c>
      <c r="D38" s="16" t="s">
        <v>55</v>
      </c>
      <c r="E38" s="6"/>
      <c r="F38" s="18" t="s">
        <v>10</v>
      </c>
      <c r="G38" s="7"/>
      <c r="H38" s="6" t="s">
        <v>489</v>
      </c>
      <c r="I38" s="6"/>
    </row>
    <row r="39" customFormat="false" ht="15" hidden="false" customHeight="false" outlineLevel="0" collapsed="false">
      <c r="A39" s="7" t="n">
        <v>38</v>
      </c>
      <c r="B39" s="6" t="s">
        <v>487</v>
      </c>
      <c r="C39" s="6" t="s">
        <v>493</v>
      </c>
      <c r="D39" s="16" t="s">
        <v>55</v>
      </c>
      <c r="E39" s="6"/>
      <c r="F39" s="18" t="s">
        <v>10</v>
      </c>
      <c r="G39" s="7"/>
      <c r="H39" s="6" t="s">
        <v>489</v>
      </c>
      <c r="I39" s="6"/>
    </row>
    <row r="40" customFormat="false" ht="15" hidden="false" customHeight="false" outlineLevel="0" collapsed="false">
      <c r="A40" s="7" t="n">
        <v>39</v>
      </c>
      <c r="B40" s="6" t="s">
        <v>487</v>
      </c>
      <c r="C40" s="6" t="s">
        <v>494</v>
      </c>
      <c r="D40" s="18" t="s">
        <v>185</v>
      </c>
      <c r="E40" s="6"/>
      <c r="F40" s="18" t="s">
        <v>10</v>
      </c>
      <c r="G40" s="7"/>
      <c r="H40" s="6" t="s">
        <v>489</v>
      </c>
      <c r="I40" s="6"/>
    </row>
    <row r="41" customFormat="false" ht="15" hidden="false" customHeight="false" outlineLevel="0" collapsed="false">
      <c r="A41" s="7" t="n">
        <v>40</v>
      </c>
      <c r="B41" s="6" t="s">
        <v>487</v>
      </c>
      <c r="C41" s="6" t="s">
        <v>495</v>
      </c>
      <c r="D41" s="16" t="s">
        <v>55</v>
      </c>
      <c r="E41" s="6"/>
      <c r="F41" s="18" t="s">
        <v>10</v>
      </c>
      <c r="G41" s="7"/>
      <c r="H41" s="6" t="s">
        <v>489</v>
      </c>
      <c r="I41" s="6"/>
    </row>
    <row r="42" customFormat="false" ht="15" hidden="false" customHeight="false" outlineLevel="0" collapsed="false">
      <c r="A42" s="7" t="n">
        <v>41</v>
      </c>
      <c r="B42" s="6" t="s">
        <v>487</v>
      </c>
      <c r="C42" s="6" t="s">
        <v>496</v>
      </c>
      <c r="D42" s="16" t="s">
        <v>55</v>
      </c>
      <c r="E42" s="6"/>
      <c r="F42" s="18" t="s">
        <v>10</v>
      </c>
      <c r="G42" s="7"/>
      <c r="H42" s="6" t="s">
        <v>489</v>
      </c>
      <c r="I42" s="6"/>
    </row>
    <row r="43" customFormat="false" ht="23.85" hidden="false" customHeight="false" outlineLevel="0" collapsed="false">
      <c r="A43" s="7" t="n">
        <v>42</v>
      </c>
      <c r="B43" s="6" t="s">
        <v>497</v>
      </c>
      <c r="C43" s="6" t="s">
        <v>498</v>
      </c>
      <c r="D43" s="16" t="s">
        <v>55</v>
      </c>
      <c r="E43" s="6"/>
      <c r="F43" s="17" t="s">
        <v>9</v>
      </c>
      <c r="G43" s="7" t="s">
        <v>105</v>
      </c>
      <c r="H43" s="6"/>
      <c r="I43" s="6" t="s">
        <v>305</v>
      </c>
    </row>
    <row r="44" customFormat="false" ht="23.85" hidden="false" customHeight="false" outlineLevel="0" collapsed="false">
      <c r="A44" s="7" t="n">
        <v>43</v>
      </c>
      <c r="B44" s="6" t="s">
        <v>497</v>
      </c>
      <c r="C44" s="6" t="s">
        <v>499</v>
      </c>
      <c r="D44" s="18" t="s">
        <v>185</v>
      </c>
      <c r="E44" s="6"/>
      <c r="F44" s="18" t="s">
        <v>10</v>
      </c>
      <c r="G44" s="7"/>
      <c r="H44" s="6" t="s">
        <v>458</v>
      </c>
      <c r="I44" s="6"/>
    </row>
    <row r="45" customFormat="false" ht="23.85" hidden="false" customHeight="false" outlineLevel="0" collapsed="false">
      <c r="A45" s="7" t="n">
        <v>44</v>
      </c>
      <c r="B45" s="6" t="s">
        <v>497</v>
      </c>
      <c r="C45" s="6" t="s">
        <v>500</v>
      </c>
      <c r="D45" s="16" t="s">
        <v>55</v>
      </c>
      <c r="E45" s="6"/>
      <c r="F45" s="18" t="s">
        <v>10</v>
      </c>
      <c r="G45" s="7"/>
      <c r="H45" s="6" t="s">
        <v>458</v>
      </c>
      <c r="I45" s="6"/>
    </row>
    <row r="46" customFormat="false" ht="15" hidden="false" customHeight="false" outlineLevel="0" collapsed="false">
      <c r="A46" s="7" t="n">
        <v>45</v>
      </c>
      <c r="B46" s="6" t="s">
        <v>501</v>
      </c>
      <c r="C46" s="6" t="s">
        <v>502</v>
      </c>
      <c r="D46" s="16" t="s">
        <v>55</v>
      </c>
      <c r="E46" s="6"/>
      <c r="F46" s="18" t="s">
        <v>10</v>
      </c>
      <c r="G46" s="7"/>
      <c r="H46" s="6" t="s">
        <v>439</v>
      </c>
      <c r="I46" s="6"/>
    </row>
    <row r="47" customFormat="false" ht="15" hidden="false" customHeight="false" outlineLevel="0" collapsed="false">
      <c r="A47" s="7" t="n">
        <v>46</v>
      </c>
      <c r="B47" s="6" t="s">
        <v>501</v>
      </c>
      <c r="C47" s="6" t="s">
        <v>503</v>
      </c>
      <c r="D47" s="16" t="s">
        <v>55</v>
      </c>
      <c r="E47" s="6"/>
      <c r="F47" s="18" t="s">
        <v>10</v>
      </c>
      <c r="G47" s="7"/>
      <c r="H47" s="6" t="s">
        <v>439</v>
      </c>
      <c r="I47" s="6"/>
    </row>
    <row r="48" customFormat="false" ht="15" hidden="false" customHeight="false" outlineLevel="0" collapsed="false">
      <c r="A48" s="7" t="n">
        <v>47</v>
      </c>
      <c r="B48" s="6" t="s">
        <v>501</v>
      </c>
      <c r="C48" s="6" t="s">
        <v>504</v>
      </c>
      <c r="D48" s="16" t="s">
        <v>55</v>
      </c>
      <c r="E48" s="6"/>
      <c r="F48" s="18" t="s">
        <v>10</v>
      </c>
      <c r="G48" s="7"/>
      <c r="H48" s="6" t="s">
        <v>439</v>
      </c>
      <c r="I48" s="6"/>
    </row>
    <row r="49" customFormat="false" ht="23.85" hidden="false" customHeight="false" outlineLevel="0" collapsed="false">
      <c r="A49" s="7" t="n">
        <v>48</v>
      </c>
      <c r="B49" s="6" t="s">
        <v>505</v>
      </c>
      <c r="C49" s="6" t="s">
        <v>506</v>
      </c>
      <c r="D49" s="16" t="s">
        <v>55</v>
      </c>
      <c r="E49" s="6"/>
      <c r="F49" s="18" t="s">
        <v>10</v>
      </c>
      <c r="G49" s="7"/>
      <c r="H49" s="6" t="s">
        <v>434</v>
      </c>
      <c r="I49" s="6"/>
    </row>
    <row r="50" customFormat="false" ht="23.85" hidden="false" customHeight="false" outlineLevel="0" collapsed="false">
      <c r="A50" s="7" t="n">
        <v>49</v>
      </c>
      <c r="B50" s="6" t="s">
        <v>505</v>
      </c>
      <c r="C50" s="6" t="s">
        <v>507</v>
      </c>
      <c r="D50" s="16" t="s">
        <v>55</v>
      </c>
      <c r="E50" s="6"/>
      <c r="F50" s="20" t="s">
        <v>12</v>
      </c>
      <c r="G50" s="7"/>
      <c r="H50" s="6"/>
      <c r="I50" s="6" t="s">
        <v>508</v>
      </c>
    </row>
    <row r="51" customFormat="false" ht="23.85" hidden="false" customHeight="false" outlineLevel="0" collapsed="false">
      <c r="A51" s="7" t="n">
        <v>50</v>
      </c>
      <c r="B51" s="6" t="s">
        <v>505</v>
      </c>
      <c r="C51" s="6" t="s">
        <v>509</v>
      </c>
      <c r="D51" s="18" t="s">
        <v>185</v>
      </c>
      <c r="E51" s="6"/>
      <c r="F51" s="20" t="s">
        <v>12</v>
      </c>
      <c r="G51" s="7"/>
      <c r="H51" s="6"/>
      <c r="I51" s="6" t="s">
        <v>508</v>
      </c>
    </row>
    <row r="52" customFormat="false" ht="23.85" hidden="false" customHeight="false" outlineLevel="0" collapsed="false">
      <c r="A52" s="7" t="n">
        <v>51</v>
      </c>
      <c r="B52" s="6" t="s">
        <v>505</v>
      </c>
      <c r="C52" s="6" t="s">
        <v>510</v>
      </c>
      <c r="D52" s="16" t="s">
        <v>55</v>
      </c>
      <c r="E52" s="6"/>
      <c r="F52" s="20" t="s">
        <v>12</v>
      </c>
      <c r="G52" s="7"/>
      <c r="H52" s="6"/>
      <c r="I52" s="6" t="s">
        <v>508</v>
      </c>
    </row>
    <row r="53" customFormat="false" ht="23.85" hidden="false" customHeight="false" outlineLevel="0" collapsed="false">
      <c r="A53" s="7" t="n">
        <v>52</v>
      </c>
      <c r="B53" s="6" t="s">
        <v>511</v>
      </c>
      <c r="C53" s="6" t="s">
        <v>512</v>
      </c>
      <c r="D53" s="16" t="s">
        <v>55</v>
      </c>
      <c r="E53" s="6"/>
      <c r="F53" s="19" t="s">
        <v>11</v>
      </c>
      <c r="G53" s="7"/>
      <c r="H53" s="6"/>
      <c r="I53" s="6" t="s">
        <v>513</v>
      </c>
    </row>
    <row r="54" customFormat="false" ht="23.85" hidden="false" customHeight="false" outlineLevel="0" collapsed="false">
      <c r="A54" s="7" t="n">
        <v>53</v>
      </c>
      <c r="B54" s="6" t="s">
        <v>511</v>
      </c>
      <c r="C54" s="6" t="s">
        <v>514</v>
      </c>
      <c r="D54" s="16" t="s">
        <v>55</v>
      </c>
      <c r="E54" s="6"/>
      <c r="F54" s="19" t="s">
        <v>11</v>
      </c>
      <c r="G54" s="7"/>
      <c r="H54" s="6"/>
      <c r="I54" s="6" t="s">
        <v>513</v>
      </c>
    </row>
    <row r="55" customFormat="false" ht="23.85" hidden="false" customHeight="false" outlineLevel="0" collapsed="false">
      <c r="A55" s="7" t="n">
        <v>54</v>
      </c>
      <c r="B55" s="6" t="s">
        <v>511</v>
      </c>
      <c r="C55" s="6" t="s">
        <v>515</v>
      </c>
      <c r="D55" s="16" t="s">
        <v>55</v>
      </c>
      <c r="E55" s="6"/>
      <c r="F55" s="19" t="s">
        <v>11</v>
      </c>
      <c r="G55" s="7"/>
      <c r="H55" s="6"/>
      <c r="I55" s="6" t="s">
        <v>513</v>
      </c>
    </row>
    <row r="56" customFormat="false" ht="23.85" hidden="false" customHeight="false" outlineLevel="0" collapsed="false">
      <c r="A56" s="7" t="n">
        <v>55</v>
      </c>
      <c r="B56" s="6" t="s">
        <v>511</v>
      </c>
      <c r="C56" s="6" t="s">
        <v>516</v>
      </c>
      <c r="D56" s="16" t="s">
        <v>55</v>
      </c>
      <c r="E56" s="6"/>
      <c r="F56" s="19" t="s">
        <v>11</v>
      </c>
      <c r="G56" s="7"/>
      <c r="H56" s="6"/>
      <c r="I56" s="6" t="s">
        <v>513</v>
      </c>
    </row>
    <row r="57" customFormat="false" ht="23.85" hidden="false" customHeight="false" outlineLevel="0" collapsed="false">
      <c r="A57" s="7" t="n">
        <v>58</v>
      </c>
      <c r="B57" s="6" t="s">
        <v>511</v>
      </c>
      <c r="C57" s="6" t="s">
        <v>517</v>
      </c>
      <c r="D57" s="16" t="s">
        <v>55</v>
      </c>
      <c r="E57" s="6"/>
      <c r="F57" s="19" t="s">
        <v>11</v>
      </c>
      <c r="G57" s="7"/>
      <c r="H57" s="6"/>
      <c r="I57" s="6" t="s">
        <v>513</v>
      </c>
    </row>
    <row r="58" customFormat="false" ht="23.85" hidden="false" customHeight="false" outlineLevel="0" collapsed="false">
      <c r="A58" s="7" t="n">
        <v>59</v>
      </c>
      <c r="B58" s="6" t="s">
        <v>511</v>
      </c>
      <c r="C58" s="6" t="s">
        <v>518</v>
      </c>
      <c r="D58" s="16" t="s">
        <v>55</v>
      </c>
      <c r="E58" s="6"/>
      <c r="F58" s="19" t="s">
        <v>11</v>
      </c>
      <c r="G58" s="7"/>
      <c r="H58" s="6"/>
      <c r="I58" s="6" t="s">
        <v>513</v>
      </c>
    </row>
    <row r="59" customFormat="false" ht="23.85" hidden="false" customHeight="false" outlineLevel="0" collapsed="false">
      <c r="A59" s="7" t="n">
        <v>60</v>
      </c>
      <c r="B59" s="6" t="s">
        <v>511</v>
      </c>
      <c r="C59" s="6" t="s">
        <v>519</v>
      </c>
      <c r="D59" s="16" t="s">
        <v>55</v>
      </c>
      <c r="E59" s="6"/>
      <c r="F59" s="19" t="s">
        <v>11</v>
      </c>
      <c r="G59" s="7"/>
      <c r="H59" s="6"/>
      <c r="I59" s="6" t="s">
        <v>513</v>
      </c>
    </row>
    <row r="60" customFormat="false" ht="23.85" hidden="false" customHeight="false" outlineLevel="0" collapsed="false">
      <c r="A60" s="7" t="n">
        <v>63</v>
      </c>
      <c r="B60" s="6" t="s">
        <v>511</v>
      </c>
      <c r="C60" s="6" t="s">
        <v>520</v>
      </c>
      <c r="D60" s="16" t="s">
        <v>55</v>
      </c>
      <c r="E60" s="6"/>
      <c r="F60" s="19" t="s">
        <v>11</v>
      </c>
      <c r="G60" s="7"/>
      <c r="H60" s="6"/>
      <c r="I60" s="6" t="s">
        <v>513</v>
      </c>
    </row>
    <row r="61" customFormat="false" ht="23.85" hidden="false" customHeight="false" outlineLevel="0" collapsed="false">
      <c r="A61" s="7" t="n">
        <v>66</v>
      </c>
      <c r="B61" s="6" t="s">
        <v>511</v>
      </c>
      <c r="C61" s="6" t="s">
        <v>521</v>
      </c>
      <c r="D61" s="18" t="s">
        <v>185</v>
      </c>
      <c r="E61" s="6" t="s">
        <v>522</v>
      </c>
      <c r="F61" s="19" t="s">
        <v>11</v>
      </c>
      <c r="G61" s="7"/>
      <c r="H61" s="6"/>
      <c r="I61" s="6" t="s">
        <v>513</v>
      </c>
    </row>
    <row r="62" customFormat="false" ht="23.85" hidden="false" customHeight="false" outlineLevel="0" collapsed="false">
      <c r="A62" s="7" t="n">
        <v>67</v>
      </c>
      <c r="B62" s="6" t="s">
        <v>511</v>
      </c>
      <c r="C62" s="6" t="s">
        <v>523</v>
      </c>
      <c r="D62" s="18" t="s">
        <v>185</v>
      </c>
      <c r="E62" s="6" t="s">
        <v>522</v>
      </c>
      <c r="F62" s="19" t="s">
        <v>11</v>
      </c>
      <c r="G62" s="7"/>
      <c r="H62" s="6"/>
      <c r="I62" s="6" t="s">
        <v>513</v>
      </c>
    </row>
    <row r="63" customFormat="false" ht="23.85" hidden="false" customHeight="false" outlineLevel="0" collapsed="false">
      <c r="A63" s="7" t="n">
        <v>68</v>
      </c>
      <c r="B63" s="6" t="s">
        <v>511</v>
      </c>
      <c r="C63" s="6" t="s">
        <v>524</v>
      </c>
      <c r="D63" s="18" t="s">
        <v>185</v>
      </c>
      <c r="E63" s="6" t="s">
        <v>522</v>
      </c>
      <c r="F63" s="19" t="s">
        <v>11</v>
      </c>
      <c r="G63" s="7"/>
      <c r="H63" s="6"/>
      <c r="I63" s="6" t="s">
        <v>513</v>
      </c>
    </row>
    <row r="64" customFormat="false" ht="23.85" hidden="false" customHeight="false" outlineLevel="0" collapsed="false">
      <c r="A64" s="7" t="n">
        <v>69</v>
      </c>
      <c r="B64" s="6" t="s">
        <v>511</v>
      </c>
      <c r="C64" s="6" t="s">
        <v>525</v>
      </c>
      <c r="D64" s="18" t="s">
        <v>185</v>
      </c>
      <c r="E64" s="6" t="s">
        <v>522</v>
      </c>
      <c r="F64" s="19" t="s">
        <v>11</v>
      </c>
      <c r="G64" s="7"/>
      <c r="H64" s="6"/>
      <c r="I64" s="6" t="s">
        <v>513</v>
      </c>
    </row>
    <row r="65" customFormat="false" ht="23.85" hidden="false" customHeight="false" outlineLevel="0" collapsed="false">
      <c r="A65" s="7" t="n">
        <v>70</v>
      </c>
      <c r="B65" s="6" t="s">
        <v>511</v>
      </c>
      <c r="C65" s="6" t="s">
        <v>526</v>
      </c>
      <c r="D65" s="18" t="s">
        <v>185</v>
      </c>
      <c r="E65" s="6" t="s">
        <v>522</v>
      </c>
      <c r="F65" s="19" t="s">
        <v>11</v>
      </c>
      <c r="G65" s="7"/>
      <c r="H65" s="6"/>
      <c r="I65" s="6" t="s">
        <v>513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6" min="3" style="0" width="26"/>
  </cols>
  <sheetData>
    <row r="1" customFormat="false" ht="39.55" hidden="false" customHeight="false" outlineLevel="0" collapsed="false">
      <c r="A1" s="4" t="s">
        <v>527</v>
      </c>
      <c r="B1" s="4" t="s">
        <v>528</v>
      </c>
      <c r="C1" s="4" t="s">
        <v>529</v>
      </c>
      <c r="D1" s="4" t="s">
        <v>530</v>
      </c>
      <c r="E1" s="4" t="s">
        <v>531</v>
      </c>
      <c r="F1" s="4" t="s">
        <v>532</v>
      </c>
    </row>
    <row r="2" customFormat="false" ht="15" hidden="false" customHeight="false" outlineLevel="0" collapsed="false">
      <c r="A2" s="13" t="s">
        <v>86</v>
      </c>
      <c r="B2" s="6" t="s">
        <v>533</v>
      </c>
      <c r="C2" s="7" t="s">
        <v>534</v>
      </c>
      <c r="D2" s="10" t="s">
        <v>535</v>
      </c>
      <c r="E2" s="7" t="s">
        <v>536</v>
      </c>
      <c r="F2" s="7" t="s">
        <v>537</v>
      </c>
    </row>
    <row r="3" customFormat="false" ht="15" hidden="false" customHeight="false" outlineLevel="0" collapsed="false">
      <c r="A3" s="13" t="s">
        <v>130</v>
      </c>
      <c r="B3" s="6" t="s">
        <v>538</v>
      </c>
      <c r="C3" s="7" t="s">
        <v>539</v>
      </c>
      <c r="D3" s="10" t="s">
        <v>535</v>
      </c>
      <c r="E3" s="7" t="s">
        <v>540</v>
      </c>
      <c r="F3" s="10" t="s">
        <v>535</v>
      </c>
    </row>
    <row r="4" customFormat="false" ht="23.85" hidden="false" customHeight="false" outlineLevel="0" collapsed="false">
      <c r="A4" s="13" t="s">
        <v>127</v>
      </c>
      <c r="B4" s="6" t="s">
        <v>541</v>
      </c>
      <c r="C4" s="7" t="s">
        <v>542</v>
      </c>
      <c r="D4" s="10" t="s">
        <v>535</v>
      </c>
      <c r="E4" s="7" t="s">
        <v>543</v>
      </c>
      <c r="F4" s="7" t="s">
        <v>544</v>
      </c>
    </row>
    <row r="5" customFormat="false" ht="15" hidden="false" customHeight="false" outlineLevel="0" collapsed="false">
      <c r="A5" s="13" t="s">
        <v>484</v>
      </c>
      <c r="B5" s="6" t="s">
        <v>545</v>
      </c>
      <c r="C5" s="10" t="s">
        <v>535</v>
      </c>
      <c r="D5" s="10" t="s">
        <v>535</v>
      </c>
      <c r="E5" s="7" t="s">
        <v>546</v>
      </c>
      <c r="F5" s="7" t="s">
        <v>547</v>
      </c>
    </row>
    <row r="6" customFormat="false" ht="15" hidden="false" customHeight="false" outlineLevel="0" collapsed="false">
      <c r="A6" s="13" t="s">
        <v>451</v>
      </c>
      <c r="B6" s="6" t="s">
        <v>548</v>
      </c>
      <c r="C6" s="10" t="s">
        <v>535</v>
      </c>
      <c r="D6" s="10" t="s">
        <v>535</v>
      </c>
      <c r="E6" s="7" t="s">
        <v>549</v>
      </c>
      <c r="F6" s="7" t="s">
        <v>550</v>
      </c>
    </row>
    <row r="7" customFormat="false" ht="15" hidden="false" customHeight="false" outlineLevel="0" collapsed="false">
      <c r="A7" s="13" t="s">
        <v>89</v>
      </c>
      <c r="B7" s="6" t="s">
        <v>551</v>
      </c>
      <c r="C7" s="7" t="s">
        <v>552</v>
      </c>
      <c r="D7" s="10" t="s">
        <v>535</v>
      </c>
      <c r="E7" s="7" t="s">
        <v>553</v>
      </c>
      <c r="F7" s="10" t="s">
        <v>535</v>
      </c>
    </row>
    <row r="8" customFormat="false" ht="15" hidden="false" customHeight="false" outlineLevel="0" collapsed="false">
      <c r="A8" s="13" t="s">
        <v>554</v>
      </c>
      <c r="B8" s="6" t="s">
        <v>555</v>
      </c>
      <c r="C8" s="7" t="s">
        <v>556</v>
      </c>
      <c r="D8" s="10" t="s">
        <v>535</v>
      </c>
      <c r="E8" s="7" t="s">
        <v>557</v>
      </c>
      <c r="F8" s="10" t="s">
        <v>535</v>
      </c>
    </row>
    <row r="9" customFormat="false" ht="15" hidden="false" customHeight="false" outlineLevel="0" collapsed="false">
      <c r="A9" s="13" t="s">
        <v>314</v>
      </c>
      <c r="B9" s="6" t="s">
        <v>558</v>
      </c>
      <c r="C9" s="7" t="s">
        <v>556</v>
      </c>
      <c r="D9" s="10" t="s">
        <v>535</v>
      </c>
      <c r="E9" s="7" t="s">
        <v>559</v>
      </c>
      <c r="F9" s="10" t="s">
        <v>535</v>
      </c>
    </row>
    <row r="10" customFormat="false" ht="15" hidden="false" customHeight="false" outlineLevel="0" collapsed="false">
      <c r="A10" s="13" t="s">
        <v>97</v>
      </c>
      <c r="B10" s="6" t="s">
        <v>560</v>
      </c>
      <c r="C10" s="7" t="s">
        <v>561</v>
      </c>
      <c r="D10" s="10" t="s">
        <v>535</v>
      </c>
      <c r="E10" s="7" t="s">
        <v>562</v>
      </c>
      <c r="F10" s="7" t="s">
        <v>563</v>
      </c>
    </row>
    <row r="11" customFormat="false" ht="15" hidden="false" customHeight="false" outlineLevel="0" collapsed="false">
      <c r="A11" s="13" t="s">
        <v>140</v>
      </c>
      <c r="B11" s="6" t="s">
        <v>564</v>
      </c>
      <c r="C11" s="7" t="s">
        <v>565</v>
      </c>
      <c r="D11" s="10" t="s">
        <v>535</v>
      </c>
      <c r="E11" s="7" t="s">
        <v>566</v>
      </c>
      <c r="F11" s="10" t="s">
        <v>535</v>
      </c>
    </row>
    <row r="12" customFormat="false" ht="15" hidden="false" customHeight="false" outlineLevel="0" collapsed="false">
      <c r="A12" s="13" t="s">
        <v>567</v>
      </c>
      <c r="B12" s="6" t="s">
        <v>568</v>
      </c>
      <c r="C12" s="10" t="s">
        <v>535</v>
      </c>
      <c r="D12" s="10" t="s">
        <v>535</v>
      </c>
      <c r="E12" s="10" t="s">
        <v>535</v>
      </c>
      <c r="F12" s="10" t="s">
        <v>535</v>
      </c>
    </row>
    <row r="13" customFormat="false" ht="15" hidden="false" customHeight="false" outlineLevel="0" collapsed="false">
      <c r="A13" s="13" t="s">
        <v>319</v>
      </c>
      <c r="B13" s="6" t="s">
        <v>569</v>
      </c>
      <c r="C13" s="10" t="s">
        <v>535</v>
      </c>
      <c r="D13" s="10" t="s">
        <v>535</v>
      </c>
      <c r="E13" s="7" t="s">
        <v>570</v>
      </c>
      <c r="F13" s="10" t="s">
        <v>535</v>
      </c>
    </row>
    <row r="14" customFormat="false" ht="15" hidden="false" customHeight="false" outlineLevel="0" collapsed="false">
      <c r="A14" s="13" t="s">
        <v>101</v>
      </c>
      <c r="B14" s="6" t="s">
        <v>571</v>
      </c>
      <c r="C14" s="7" t="s">
        <v>572</v>
      </c>
      <c r="D14" s="10" t="s">
        <v>535</v>
      </c>
      <c r="E14" s="7" t="s">
        <v>573</v>
      </c>
      <c r="F14" s="7" t="s">
        <v>574</v>
      </c>
    </row>
    <row r="15" customFormat="false" ht="15" hidden="false" customHeight="false" outlineLevel="0" collapsed="false">
      <c r="A15" s="13" t="s">
        <v>103</v>
      </c>
      <c r="B15" s="6" t="s">
        <v>575</v>
      </c>
      <c r="C15" s="7" t="s">
        <v>576</v>
      </c>
      <c r="D15" s="10" t="s">
        <v>535</v>
      </c>
      <c r="E15" s="7" t="s">
        <v>577</v>
      </c>
      <c r="F15" s="10" t="s">
        <v>535</v>
      </c>
    </row>
    <row r="16" customFormat="false" ht="15" hidden="false" customHeight="false" outlineLevel="0" collapsed="false">
      <c r="A16" s="13" t="s">
        <v>105</v>
      </c>
      <c r="B16" s="6" t="s">
        <v>578</v>
      </c>
      <c r="C16" s="7" t="s">
        <v>579</v>
      </c>
      <c r="D16" s="10" t="s">
        <v>535</v>
      </c>
      <c r="E16" s="7" t="s">
        <v>580</v>
      </c>
      <c r="F16" s="7" t="s">
        <v>581</v>
      </c>
    </row>
    <row r="17" customFormat="false" ht="15" hidden="false" customHeight="false" outlineLevel="0" collapsed="false">
      <c r="A17" s="13" t="s">
        <v>108</v>
      </c>
      <c r="B17" s="6" t="s">
        <v>582</v>
      </c>
      <c r="C17" s="7" t="s">
        <v>583</v>
      </c>
      <c r="D17" s="10" t="s">
        <v>535</v>
      </c>
      <c r="E17" s="10" t="s">
        <v>535</v>
      </c>
      <c r="F17" s="10" t="s">
        <v>535</v>
      </c>
    </row>
    <row r="18" customFormat="false" ht="15" hidden="false" customHeight="false" outlineLevel="0" collapsed="false">
      <c r="A18" s="13" t="s">
        <v>273</v>
      </c>
      <c r="B18" s="6" t="s">
        <v>584</v>
      </c>
      <c r="C18" s="10" t="s">
        <v>535</v>
      </c>
      <c r="D18" s="10" t="s">
        <v>535</v>
      </c>
      <c r="E18" s="7" t="s">
        <v>585</v>
      </c>
      <c r="F18" s="7" t="s">
        <v>586</v>
      </c>
    </row>
    <row r="19" customFormat="false" ht="15" hidden="false" customHeight="false" outlineLevel="0" collapsed="false">
      <c r="A19" s="13" t="s">
        <v>271</v>
      </c>
      <c r="B19" s="6" t="s">
        <v>587</v>
      </c>
      <c r="C19" s="10" t="s">
        <v>535</v>
      </c>
      <c r="D19" s="10" t="s">
        <v>535</v>
      </c>
      <c r="E19" s="7" t="s">
        <v>588</v>
      </c>
      <c r="F19" s="10" t="s">
        <v>535</v>
      </c>
    </row>
    <row r="20" customFormat="false" ht="23.85" hidden="false" customHeight="false" outlineLevel="0" collapsed="false">
      <c r="A20" s="13" t="s">
        <v>99</v>
      </c>
      <c r="B20" s="6" t="s">
        <v>589</v>
      </c>
      <c r="C20" s="7" t="s">
        <v>590</v>
      </c>
      <c r="D20" s="10" t="s">
        <v>535</v>
      </c>
      <c r="E20" s="7" t="s">
        <v>591</v>
      </c>
      <c r="F20" s="7" t="s">
        <v>592</v>
      </c>
    </row>
    <row r="21" customFormat="false" ht="15" hidden="false" customHeight="false" outlineLevel="0" collapsed="false">
      <c r="A21" s="13" t="s">
        <v>593</v>
      </c>
      <c r="B21" s="6" t="s">
        <v>594</v>
      </c>
      <c r="C21" s="10" t="s">
        <v>535</v>
      </c>
      <c r="D21" s="10" t="s">
        <v>535</v>
      </c>
      <c r="E21" s="10" t="s">
        <v>535</v>
      </c>
      <c r="F21" s="10" t="s">
        <v>535</v>
      </c>
    </row>
    <row r="23" customFormat="false" ht="30" hidden="false" customHeight="true" outlineLevel="0" collapsed="false">
      <c r="A23" s="2" t="s">
        <v>595</v>
      </c>
      <c r="B23" s="2"/>
      <c r="C23" s="2"/>
      <c r="D23" s="2"/>
      <c r="E23" s="2"/>
      <c r="F23" s="2"/>
    </row>
  </sheetData>
  <mergeCells count="1"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44"/>
  </cols>
  <sheetData>
    <row r="1" customFormat="false" ht="39.55" hidden="false" customHeight="false" outlineLevel="0" collapsed="false">
      <c r="A1" s="4" t="s">
        <v>596</v>
      </c>
      <c r="B1" s="4" t="s">
        <v>597</v>
      </c>
      <c r="C1" s="4" t="s">
        <v>51</v>
      </c>
      <c r="D1" s="4" t="s">
        <v>598</v>
      </c>
      <c r="E1" s="4" t="s">
        <v>599</v>
      </c>
      <c r="F1" s="4" t="s">
        <v>5</v>
      </c>
      <c r="G1" s="4" t="s">
        <v>600</v>
      </c>
      <c r="H1" s="4" t="s">
        <v>52</v>
      </c>
    </row>
    <row r="2" customFormat="false" ht="23.85" hidden="false" customHeight="false" outlineLevel="0" collapsed="false">
      <c r="A2" s="18" t="s">
        <v>601</v>
      </c>
      <c r="B2" s="7" t="s">
        <v>602</v>
      </c>
      <c r="C2" s="5" t="s">
        <v>82</v>
      </c>
      <c r="D2" s="6" t="s">
        <v>603</v>
      </c>
      <c r="E2" s="6" t="s">
        <v>604</v>
      </c>
      <c r="F2" s="7" t="n">
        <f aca="false">COUNTIF(Nexus!$H$2:$H$90,$C2)+COUNTIF(Catalyst!$H$2:$H$26,$C2)+COUNTIF(Zabbix!$H$2:$H$127,$C2)+COUNTIF('ONES-MCP'!$H$2:$H$65,$C2)</f>
        <v>3</v>
      </c>
      <c r="G2" s="6" t="s">
        <v>605</v>
      </c>
      <c r="H2" s="6" t="s">
        <v>606</v>
      </c>
    </row>
    <row r="3" customFormat="false" ht="23.85" hidden="false" customHeight="false" outlineLevel="0" collapsed="false">
      <c r="A3" s="18" t="s">
        <v>601</v>
      </c>
      <c r="B3" s="7" t="s">
        <v>602</v>
      </c>
      <c r="C3" s="5" t="s">
        <v>121</v>
      </c>
      <c r="D3" s="6" t="s">
        <v>607</v>
      </c>
      <c r="E3" s="6" t="s">
        <v>608</v>
      </c>
      <c r="F3" s="7" t="n">
        <f aca="false">COUNTIF(Nexus!$H$2:$H$90,$C3)+COUNTIF(Catalyst!$H$2:$H$26,$C3)+COUNTIF(Zabbix!$H$2:$H$127,$C3)+COUNTIF('ONES-MCP'!$H$2:$H$65,$C3)</f>
        <v>2</v>
      </c>
      <c r="G3" s="6" t="s">
        <v>609</v>
      </c>
      <c r="H3" s="6" t="s">
        <v>610</v>
      </c>
    </row>
    <row r="4" customFormat="false" ht="23.85" hidden="false" customHeight="false" outlineLevel="0" collapsed="false">
      <c r="A4" s="18" t="s">
        <v>601</v>
      </c>
      <c r="B4" s="7" t="s">
        <v>19</v>
      </c>
      <c r="C4" s="5" t="s">
        <v>289</v>
      </c>
      <c r="D4" s="6" t="s">
        <v>611</v>
      </c>
      <c r="E4" s="6" t="s">
        <v>612</v>
      </c>
      <c r="F4" s="7" t="n">
        <f aca="false">COUNTIF(Nexus!$H$2:$H$90,$C4)+COUNTIF(Catalyst!$H$2:$H$26,$C4)+COUNTIF(Zabbix!$H$2:$H$127,$C4)+COUNTIF('ONES-MCP'!$H$2:$H$65,$C4)</f>
        <v>9</v>
      </c>
      <c r="G4" s="6" t="s">
        <v>613</v>
      </c>
      <c r="H4" s="6" t="s">
        <v>614</v>
      </c>
    </row>
    <row r="5" customFormat="false" ht="23.85" hidden="false" customHeight="false" outlineLevel="0" collapsed="false">
      <c r="A5" s="18" t="s">
        <v>601</v>
      </c>
      <c r="B5" s="7" t="s">
        <v>19</v>
      </c>
      <c r="C5" s="5" t="s">
        <v>297</v>
      </c>
      <c r="D5" s="6" t="s">
        <v>615</v>
      </c>
      <c r="E5" s="6" t="s">
        <v>616</v>
      </c>
      <c r="F5" s="7" t="n">
        <f aca="false">COUNTIF(Nexus!$H$2:$H$90,$C5)+COUNTIF(Catalyst!$H$2:$H$26,$C5)+COUNTIF(Zabbix!$H$2:$H$127,$C5)+COUNTIF('ONES-MCP'!$H$2:$H$65,$C5)</f>
        <v>5</v>
      </c>
      <c r="G5" s="6" t="s">
        <v>617</v>
      </c>
      <c r="H5" s="6" t="s">
        <v>618</v>
      </c>
    </row>
    <row r="6" customFormat="false" ht="35.05" hidden="false" customHeight="false" outlineLevel="0" collapsed="false">
      <c r="A6" s="17" t="s">
        <v>619</v>
      </c>
      <c r="B6" s="7" t="s">
        <v>19</v>
      </c>
      <c r="C6" s="5" t="s">
        <v>325</v>
      </c>
      <c r="D6" s="6" t="s">
        <v>620</v>
      </c>
      <c r="E6" s="6" t="s">
        <v>621</v>
      </c>
      <c r="F6" s="7" t="n">
        <f aca="false">COUNTIF(Nexus!$H$2:$H$90,$C6)+COUNTIF(Catalyst!$H$2:$H$26,$C6)+COUNTIF(Zabbix!$H$2:$H$127,$C6)+COUNTIF('ONES-MCP'!$H$2:$H$65,$C6)</f>
        <v>18</v>
      </c>
      <c r="G6" s="6" t="s">
        <v>622</v>
      </c>
      <c r="H6" s="6"/>
    </row>
    <row r="7" customFormat="false" ht="23.85" hidden="false" customHeight="false" outlineLevel="0" collapsed="false">
      <c r="A7" s="17" t="s">
        <v>619</v>
      </c>
      <c r="B7" s="7" t="s">
        <v>32</v>
      </c>
      <c r="C7" s="5" t="s">
        <v>92</v>
      </c>
      <c r="D7" s="6" t="s">
        <v>623</v>
      </c>
      <c r="E7" s="6" t="s">
        <v>624</v>
      </c>
      <c r="F7" s="7" t="n">
        <f aca="false">COUNTIF(Nexus!$H$2:$H$90,$C7)+COUNTIF(Catalyst!$H$2:$H$26,$C7)+COUNTIF(Zabbix!$H$2:$H$127,$C7)+COUNTIF('ONES-MCP'!$H$2:$H$65,$C7)</f>
        <v>6</v>
      </c>
      <c r="G7" s="6" t="s">
        <v>625</v>
      </c>
      <c r="H7" s="6"/>
    </row>
    <row r="8" customFormat="false" ht="23.85" hidden="false" customHeight="false" outlineLevel="0" collapsed="false">
      <c r="A8" s="17" t="s">
        <v>619</v>
      </c>
      <c r="B8" s="7" t="s">
        <v>21</v>
      </c>
      <c r="C8" s="5" t="s">
        <v>458</v>
      </c>
      <c r="D8" s="6" t="s">
        <v>626</v>
      </c>
      <c r="E8" s="6" t="s">
        <v>627</v>
      </c>
      <c r="F8" s="7" t="n">
        <f aca="false">COUNTIF(Nexus!$H$2:$H$90,$C8)+COUNTIF(Catalyst!$H$2:$H$26,$C8)+COUNTIF(Zabbix!$H$2:$H$127,$C8)+COUNTIF('ONES-MCP'!$H$2:$H$65,$C8)</f>
        <v>9</v>
      </c>
      <c r="G8" s="6" t="s">
        <v>628</v>
      </c>
      <c r="H8" s="6" t="s">
        <v>629</v>
      </c>
    </row>
    <row r="9" customFormat="false" ht="23.85" hidden="false" customHeight="false" outlineLevel="0" collapsed="false">
      <c r="A9" s="17" t="s">
        <v>619</v>
      </c>
      <c r="B9" s="7" t="s">
        <v>21</v>
      </c>
      <c r="C9" s="5" t="s">
        <v>489</v>
      </c>
      <c r="D9" s="6" t="s">
        <v>630</v>
      </c>
      <c r="E9" s="6" t="s">
        <v>631</v>
      </c>
      <c r="F9" s="7" t="n">
        <f aca="false">COUNTIF(Nexus!$H$2:$H$90,$C9)+COUNTIF(Catalyst!$H$2:$H$26,$C9)+COUNTIF(Zabbix!$H$2:$H$127,$C9)+COUNTIF('ONES-MCP'!$H$2:$H$65,$C9)</f>
        <v>8</v>
      </c>
      <c r="G9" s="6" t="s">
        <v>632</v>
      </c>
      <c r="H9" s="6" t="s">
        <v>633</v>
      </c>
    </row>
    <row r="10" customFormat="false" ht="46.25" hidden="false" customHeight="false" outlineLevel="0" collapsed="false">
      <c r="A10" s="17" t="s">
        <v>619</v>
      </c>
      <c r="B10" s="7" t="s">
        <v>634</v>
      </c>
      <c r="C10" s="5" t="s">
        <v>280</v>
      </c>
      <c r="D10" s="6" t="s">
        <v>635</v>
      </c>
      <c r="E10" s="6" t="s">
        <v>636</v>
      </c>
      <c r="F10" s="7" t="n">
        <f aca="false">COUNTIF(Nexus!$H$2:$H$90,$C10)+COUNTIF(Catalyst!$H$2:$H$26,$C10)+COUNTIF(Zabbix!$H$2:$H$127,$C10)+COUNTIF('ONES-MCP'!$H$2:$H$65,$C10)</f>
        <v>18</v>
      </c>
      <c r="G10" s="6" t="s">
        <v>637</v>
      </c>
      <c r="H10" s="6" t="s">
        <v>638</v>
      </c>
    </row>
    <row r="11" customFormat="false" ht="15" hidden="false" customHeight="false" outlineLevel="0" collapsed="false">
      <c r="A11" s="17" t="s">
        <v>619</v>
      </c>
      <c r="B11" s="7" t="s">
        <v>19</v>
      </c>
      <c r="C11" s="5" t="s">
        <v>265</v>
      </c>
      <c r="D11" s="6" t="s">
        <v>639</v>
      </c>
      <c r="E11" s="6" t="s">
        <v>640</v>
      </c>
      <c r="F11" s="7" t="n">
        <f aca="false">COUNTIF(Nexus!$H$2:$H$90,$C11)+COUNTIF(Catalyst!$H$2:$H$26,$C11)+COUNTIF(Zabbix!$H$2:$H$127,$C11)+COUNTIF('ONES-MCP'!$H$2:$H$65,$C11)</f>
        <v>3</v>
      </c>
      <c r="G11" s="6" t="s">
        <v>641</v>
      </c>
      <c r="H11" s="6"/>
    </row>
    <row r="12" customFormat="false" ht="23.85" hidden="false" customHeight="false" outlineLevel="0" collapsed="false">
      <c r="A12" s="17" t="s">
        <v>619</v>
      </c>
      <c r="B12" s="7" t="s">
        <v>19</v>
      </c>
      <c r="C12" s="5" t="s">
        <v>277</v>
      </c>
      <c r="D12" s="6" t="s">
        <v>642</v>
      </c>
      <c r="E12" s="6" t="s">
        <v>643</v>
      </c>
      <c r="F12" s="7" t="n">
        <f aca="false">COUNTIF(Nexus!$H$2:$H$90,$C12)+COUNTIF(Catalyst!$H$2:$H$26,$C12)+COUNTIF(Zabbix!$H$2:$H$127,$C12)+COUNTIF('ONES-MCP'!$H$2:$H$65,$C12)</f>
        <v>6</v>
      </c>
      <c r="G12" s="6" t="s">
        <v>644</v>
      </c>
      <c r="H12" s="6"/>
    </row>
    <row r="13" customFormat="false" ht="23.85" hidden="false" customHeight="false" outlineLevel="0" collapsed="false">
      <c r="A13" s="20" t="s">
        <v>645</v>
      </c>
      <c r="B13" s="7" t="s">
        <v>19</v>
      </c>
      <c r="C13" s="5" t="s">
        <v>418</v>
      </c>
      <c r="D13" s="6" t="s">
        <v>646</v>
      </c>
      <c r="E13" s="6" t="s">
        <v>647</v>
      </c>
      <c r="F13" s="7" t="n">
        <f aca="false">COUNTIF(Nexus!$H$2:$H$90,$C13)+COUNTIF(Catalyst!$H$2:$H$26,$C13)+COUNTIF(Zabbix!$H$2:$H$127,$C13)+COUNTIF('ONES-MCP'!$H$2:$H$65,$C13)</f>
        <v>5</v>
      </c>
      <c r="G13" s="6" t="s">
        <v>648</v>
      </c>
      <c r="H13" s="6" t="s">
        <v>649</v>
      </c>
    </row>
    <row r="14" customFormat="false" ht="23.85" hidden="false" customHeight="false" outlineLevel="0" collapsed="false">
      <c r="A14" s="20" t="s">
        <v>645</v>
      </c>
      <c r="B14" s="7" t="s">
        <v>32</v>
      </c>
      <c r="C14" s="5" t="s">
        <v>110</v>
      </c>
      <c r="D14" s="6" t="s">
        <v>650</v>
      </c>
      <c r="E14" s="6" t="s">
        <v>651</v>
      </c>
      <c r="F14" s="7" t="n">
        <f aca="false">COUNTIF(Nexus!$H$2:$H$90,$C14)+COUNTIF(Catalyst!$H$2:$H$26,$C14)+COUNTIF(Zabbix!$H$2:$H$127,$C14)+COUNTIF('ONES-MCP'!$H$2:$H$65,$C14)</f>
        <v>10</v>
      </c>
      <c r="G14" s="6" t="s">
        <v>652</v>
      </c>
      <c r="H14" s="6"/>
    </row>
    <row r="15" customFormat="false" ht="15" hidden="false" customHeight="false" outlineLevel="0" collapsed="false">
      <c r="A15" s="20" t="s">
        <v>645</v>
      </c>
      <c r="B15" s="7" t="s">
        <v>32</v>
      </c>
      <c r="C15" s="5" t="s">
        <v>152</v>
      </c>
      <c r="D15" s="6" t="s">
        <v>653</v>
      </c>
      <c r="E15" s="6" t="s">
        <v>654</v>
      </c>
      <c r="F15" s="7" t="n">
        <f aca="false">COUNTIF(Nexus!$H$2:$H$90,$C15)+COUNTIF(Catalyst!$H$2:$H$26,$C15)+COUNTIF(Zabbix!$H$2:$H$127,$C15)+COUNTIF('ONES-MCP'!$H$2:$H$65,$C15)</f>
        <v>5</v>
      </c>
      <c r="G15" s="6" t="s">
        <v>655</v>
      </c>
      <c r="H15" s="6"/>
    </row>
    <row r="16" customFormat="false" ht="15" hidden="false" customHeight="false" outlineLevel="0" collapsed="false">
      <c r="A16" s="20" t="s">
        <v>645</v>
      </c>
      <c r="B16" s="7" t="s">
        <v>21</v>
      </c>
      <c r="C16" s="5" t="s">
        <v>439</v>
      </c>
      <c r="D16" s="6" t="s">
        <v>656</v>
      </c>
      <c r="E16" s="6" t="s">
        <v>657</v>
      </c>
      <c r="F16" s="7" t="n">
        <f aca="false">COUNTIF(Nexus!$H$2:$H$90,$C16)+COUNTIF(Catalyst!$H$2:$H$26,$C16)+COUNTIF(Zabbix!$H$2:$H$127,$C16)+COUNTIF('ONES-MCP'!$H$2:$H$65,$C16)</f>
        <v>6</v>
      </c>
      <c r="G16" s="6" t="s">
        <v>658</v>
      </c>
      <c r="H16" s="6"/>
    </row>
    <row r="17" customFormat="false" ht="23.85" hidden="false" customHeight="false" outlineLevel="0" collapsed="false">
      <c r="A17" s="20" t="s">
        <v>645</v>
      </c>
      <c r="B17" s="7" t="s">
        <v>21</v>
      </c>
      <c r="C17" s="5" t="s">
        <v>434</v>
      </c>
      <c r="D17" s="6" t="s">
        <v>659</v>
      </c>
      <c r="E17" s="6" t="s">
        <v>660</v>
      </c>
      <c r="F17" s="7" t="n">
        <f aca="false">COUNTIF(Nexus!$H$2:$H$90,$C17)+COUNTIF(Catalyst!$H$2:$H$26,$C17)+COUNTIF(Zabbix!$H$2:$H$127,$C17)+COUNTIF('ONES-MCP'!$H$2:$H$65,$C17)</f>
        <v>4</v>
      </c>
      <c r="G17" s="6" t="s">
        <v>661</v>
      </c>
      <c r="H17" s="6" t="s">
        <v>662</v>
      </c>
    </row>
    <row r="18" customFormat="false" ht="23.85" hidden="false" customHeight="false" outlineLevel="0" collapsed="false">
      <c r="A18" s="21" t="s">
        <v>663</v>
      </c>
      <c r="B18" s="7" t="s">
        <v>21</v>
      </c>
      <c r="C18" s="5" t="s">
        <v>437</v>
      </c>
      <c r="D18" s="6" t="s">
        <v>664</v>
      </c>
      <c r="E18" s="6" t="s">
        <v>665</v>
      </c>
      <c r="F18" s="7" t="n">
        <f aca="false">COUNTIF(Nexus!$H$2:$H$90,$C18)+COUNTIF(Catalyst!$H$2:$H$26,$C18)+COUNTIF(Zabbix!$H$2:$H$127,$C18)+COUNTIF('ONES-MCP'!$H$2:$H$65,$C18)</f>
        <v>5</v>
      </c>
      <c r="G18" s="6" t="s">
        <v>666</v>
      </c>
      <c r="H18" s="6" t="s">
        <v>667</v>
      </c>
    </row>
    <row r="19" customFormat="false" ht="23.85" hidden="false" customHeight="false" outlineLevel="0" collapsed="false">
      <c r="A19" s="21" t="s">
        <v>663</v>
      </c>
      <c r="B19" s="7" t="s">
        <v>602</v>
      </c>
      <c r="C19" s="5" t="s">
        <v>75</v>
      </c>
      <c r="D19" s="6" t="s">
        <v>668</v>
      </c>
      <c r="E19" s="6" t="s">
        <v>669</v>
      </c>
      <c r="F19" s="7" t="n">
        <f aca="false">COUNTIF(Nexus!$H$2:$H$90,$C19)+COUNTIF(Catalyst!$H$2:$H$26,$C19)+COUNTIF(Zabbix!$H$2:$H$127,$C19)+COUNTIF('ONES-MCP'!$H$2:$H$65,$C19)</f>
        <v>1</v>
      </c>
      <c r="G19" s="6" t="s">
        <v>670</v>
      </c>
      <c r="H19" s="6" t="s">
        <v>671</v>
      </c>
    </row>
    <row r="20" customFormat="false" ht="15" hidden="false" customHeight="false" outlineLevel="0" collapsed="false">
      <c r="E20" s="13" t="s">
        <v>672</v>
      </c>
      <c r="F20" s="13" t="n">
        <f aca="false">SUM(F2:F19)</f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2026-10-06T10:29:43Z</dcterms:created>
  <dc:creator>openpyxl</dc:creator>
  <dc:description/>
  <dc:language>en-US</dc:language>
  <cp:lastModifiedBy/>
  <dcterms:modified xsi:type="dcterms:W3CDTF">2026-10-06T10:29:43Z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