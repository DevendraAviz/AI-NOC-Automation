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Use Cases" sheetId="2" state="visible" r:id="rId4"/>
    <sheet name="Prompt Sheet Format" sheetId="3" state="visible" r:id="rId5"/>
    <sheet name="Example Rows" sheetId="4" state="visible" r:id="rId6"/>
    <sheet name="Old List → New" sheetId="5" state="visible" r:id="rId7"/>
  </sheets>
  <definedNames>
    <definedName function="false" hidden="true" localSheetId="1" name="_xlnm._FilterDatabase" vbProcedure="false">'Use Cases'!$A$1:$K$11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<sst xmlns="http://schemas.openxmlformats.org/spreadsheetml/2006/main" count="318" uniqueCount="256">
  <si>
    <t xml:space="preserve">NCP 2.0 AI NOC — Prompt Validation Use Cases</t>
  </si>
  <si>
    <t xml:space="preserve">Short list, 2026-09-29. Replaces the earlier 24-use-case workbook in NCP-2.0.</t>
  </si>
  <si>
    <t xml:space="preserve">What this is</t>
  </si>
  <si>
    <t xml:space="preserve">10 use cases that validate AI NOC chat prompts — the same idea as the old USECASE automation: send the prompt, get the right answer from the real source, compare, and report. API-level checks are handled separately. UI automation is handled by another engineer.</t>
  </si>
  <si>
    <t xml:space="preserve">How one prompt is tested</t>
  </si>
  <si>
    <t xml:space="preserve">1) Read a row from data/ainoc_prompts.xlsx (one sheet per area — see 'Prompt Sheet' column).
2) Send the prompt over the chat WebSocket, in Admin Chat and in Project Chat.
3) Get the right answer from the source named in the row (Prometheus, vLLM /metrics, BCM REST, metrics DB, ONES REST / FM, audit truth file).
4) Compare: numbers by code within a tolerance; verdicts must be equal; an LLM judge only checks structure.
5) Write the report: FinalReport_AINOC.xlsx (one sheet per area), report.html, failed_prompts.xlsx.</t>
  </si>
  <si>
    <t xml:space="preserve">Folder (pytest only)</t>
  </si>
  <si>
    <t xml:space="preserve">AI-NOC Automation/AI-NOC-AUTOMATION-2026/
   conftest.py · pytest.ini · config.py · test_main.py (one test, parametrised from the prompt sheets)
   ai_core.py (WebSocket chat, compare, report) · truth/ (dcgm, vllm, bcm, metrics_db, ones, audit)
   data/ainoc_prompts.xlsx · data/compliance_truth.yaml · reports/</t>
  </si>
  <si>
    <t xml:space="preserve">Rules</t>
  </si>
  <si>
    <t xml:space="preserve">• A prompt passes only if it passes in both Admin Chat and Project Chat.
• Before any FAIL: check the answer vs the tool data, use truth from the time of the answer, rule out lab gaps, repeat once in a new chat, and don't fail on wording alone.
• No automatic PASS just because both sides have data. 'None found' is not a pass when the data is simply not available.
• GNS3 zeros (CRC, drops, optics, flaps) → 'not testable in simulation', not a pass.
• Never run t1.py on the 2.0 box. Never point the judge LLM at 10.4.5.33:8000. Audit prompts get a 600 s timeout.</t>
  </si>
  <si>
    <t xml:space="preserve">Not in this list</t>
  </si>
  <si>
    <t xml:space="preserve">API-level checks (connector validation, features.yml, exports, health, secrets, routing) — handled separately. UI automation — another engineer. Run:ai — deferred. ONES write prompts (create / delete tenant, reboot). Slack delivery, UFM.</t>
  </si>
  <si>
    <t xml:space="preserve">Summary (live formulas over 'Use Cases')</t>
  </si>
  <si>
    <t xml:space="preserve">Priority</t>
  </si>
  <si>
    <t xml:space="preserve">Use Cases</t>
  </si>
  <si>
    <t xml:space="preserve">P0</t>
  </si>
  <si>
    <t xml:space="preserve">P1</t>
  </si>
  <si>
    <t xml:space="preserve">Total</t>
  </si>
  <si>
    <t xml:space="preserve">ID</t>
  </si>
  <si>
    <t xml:space="preserve">Connector / Area</t>
  </si>
  <si>
    <t xml:space="preserve">What the Prompts Validate</t>
  </si>
  <si>
    <t xml:space="preserve">Example Prompts</t>
  </si>
  <si>
    <t xml:space="preserve">Ground Truth (where the right answer comes from)</t>
  </si>
  <si>
    <t xml:space="preserve">Pass Rule</t>
  </si>
  <si>
    <t xml:space="preserve">Negative / Edge Prompts</t>
  </si>
  <si>
    <t xml:space="preserve">Seed Prompts From</t>
  </si>
  <si>
    <t xml:space="preserve">Prompt Sheet</t>
  </si>
  <si>
    <t xml:space="preserve">Notes / Known Issues</t>
  </si>
  <si>
    <t xml:space="preserve">AINOC-P01</t>
  </si>
  <si>
    <t xml:space="preserve">DCGM — GPU telemetry</t>
  </si>
  <si>
    <t xml:space="preserve">Per-GPU values and fleet facts: temperature, utilization, power, framebuffer used/free, memory temp, XID and other health counters, tensor / DRAM active. Also 'which GPU is hottest / most used' and GPU counts.</t>
  </si>
  <si>
    <t xml:space="preserve">#dcgm list every GPU with its host and card model
#dcgm which GPU is running hottest
#dcgm which GPU has the most memory in use</t>
  </si>
  <si>
    <t xml:space="preserve">Prometheus http://10.20.0.41:9091, instant query at the time of the answer, per Hostname + gpu. Fleet = 14 GPUs on 6 hosts.</t>
  </si>
  <si>
    <t xml:space="preserve">Every value within tolerance (e.g. temp ±2 °C, util ±5). The right GPU for 'which' questions. GPU count = 14.</t>
  </si>
  <si>
    <t xml:space="preserve">• Unknown host ('#dcgm show GPU stats for host does-not-exist-01') → says not found.
• Unsupported metrics (fan speed, clock throttling, vGPU licence, NVLink) → says not available; no invented numbers.
• hgx-su00-v100 has no XID / health series → 'no data', never 0.
• Names use the DCGM Hostname label (hgx-su00-a6000-2), not the Prometheus instance (ncp02).</t>
  </si>
  <si>
    <t xml:space="preserve">AI-NOC-Prompts.csv rows 1–18 · DCGM-Test-Prompts.md (88) · Uncovered-Metric prompts D1–D8</t>
  </si>
  <si>
    <t xml:space="preserve">dcgm</t>
  </si>
  <si>
    <t xml:space="preserve">Pushgateway keeps a dead node's last value forever — check push_time before trusting a value (finding #5).</t>
  </si>
  <si>
    <t xml:space="preserve">AINOC-P02</t>
  </si>
  <si>
    <t xml:space="preserve">Dynamo / vLLM — inference</t>
  </si>
  <si>
    <t xml:space="preserve">Per-endpoint values: KV cache hit and miss rate, TTFT (average and percentiles), token waste, overallocation, truncation, running / waiting requests, prefill vs decode, success rate, MFU.</t>
  </si>
  <si>
    <t xml:space="preserve">#dynamo which endpoint has the worst TTFT
#dynamo give me the TTFT percentiles for each vLLM endpoint - p50, p90, p95 and p99
#dynamo what percentage of the KV cache is currently in use on each vLLM endpoint</t>
  </si>
  <si>
    <t xml:space="preserve">Scrape each endpoint's /metrics just before and just after the answer (http :8000, https :8120 / :8121). Formulas as in NCP-2.0/CLAUDE.md §36.7. MFU = NCP's own formula over a ~5 s double scrape.</t>
  </si>
  <si>
    <t xml:space="preserve">Value lies between the before/after scrape (counters keep moving). Endpoint list = the 3 connector endpoints. Right endpoint for 'which' questions.</t>
  </si>
  <si>
    <t xml:space="preserve">• Idle endpoint → MFU 'unavailable (idle)', with the right reason.
• 10.20.11.73:8122 is in Prometheus but not in the connector → not listed as a connector endpoint.
• Answer taken only from cached memory (missing endpoint 8000) → FAIL.
• 'Hit rate' and 'miss rate' asked on the same endpoint must add up to 100%.</t>
  </si>
  <si>
    <t xml:space="preserve">AI-NOC-Prompts.csv rows 19–32 · Uncovered-Metric prompts V1–V12</t>
  </si>
  <si>
    <t xml:space="preserve">dynamo</t>
  </si>
  <si>
    <t xml:space="preserve">10.4.5.33:8000 is NCP's own LLM, so its counters move with every chat. Compare values on 8120 / 8121. Never point the judge LLM at 8000. Open bug: MFU uses 1 GPU on 10.4.5.33 (it has 4).</t>
  </si>
  <si>
    <t xml:space="preserve">AINOC-P03</t>
  </si>
  <si>
    <t xml:space="preserve">BCM — compute nodes</t>
  </si>
  <si>
    <t xml:space="preserve">Node and device counts by class (Total / Up / Down / Closed), CPU load and utilization, memory, packet errors and drops, device fields.</t>
  </si>
  <si>
    <t xml:space="preserve">#bcm how many nodes does BCM manage in total, and how many are up, down and closed?
#bcm which node is under the most memory pressure
#bcm for each BCM node, show its hostname, management IP, MAC address, UUID, assigned roles and configuration category.</t>
  </si>
  <si>
    <t xml:space="preserve">BCM REST https://10.20.13.243:8081 (mTLS): /rest/v1/device, /rest/v1/monitoring/latest?entity=&lt;host&gt;, the *Total / *Up / *Closed measurables. Always read 'raw', not 'value'.</t>
  </si>
  <si>
    <t xml:space="preserve">Counts exact. Values within tolerance. Every field the prompt asks for is present.</t>
  </si>
  <si>
    <t xml:space="preserve">• Classes that don't exist (DPU nodes, NVLink switches, power shelves) → 0, never LiteNode data.
• Memory answer must include the nodes that actually have data.
• Counters with a large 'age' must not be shown as live.
• Packet errors: physical NICs only, not gns3tap / wg0 / virbr.</t>
  </si>
  <si>
    <t xml:space="preserve">AI-NOC-Prompts.csv rows 33–44 · Uncovered-Metric prompts B1–B7</t>
  </si>
  <si>
    <t xml:space="preserve">bcm</t>
  </si>
  <si>
    <t xml:space="preserve">Four BCM bugs came from one behaviour (device-class substitution) — rows 41–44 guard them.</t>
  </si>
  <si>
    <t xml:space="preserve">AINOC-P04</t>
  </si>
  <si>
    <t xml:space="preserve">ONES — API connector (#ones-api-181)</t>
  </si>
  <si>
    <t xml:space="preserve">Device, interface, transceiver, fan and PSU inventory; CPU, memory and interface counters; time-based rows; the 'Not Supported - No Data' rows.</t>
  </si>
  <si>
    <t xml:space="preserve">#ones-api-181 List all devices with their hostname, IP address and reachability status.
#ones-api-181 Are all fans and power supplies operating normally?
#ones-api-181 Which interfaces have errors or discards?</t>
  </si>
  <si>
    <t xml:space="preserve">SQL on the metrics DB (ncp-collector-db / metrics) with dataconnector_tags = 'ones-api-181' — the same SQL path as the old USECASE automation.</t>
  </si>
  <si>
    <t xml:space="preserve">Rows and counts match the SQL result. Strict compare: no automatic PASS just because both sides have data.</t>
  </si>
  <si>
    <t xml:space="preserve">• 'Not Supported - No Data' rows (alerts, installation ID, BGP, syslog, service CPU) → says not available.
• Empty tables for this tag (optics DOM, status history, uptime history, links) → 'not available', never 'none found' or 0.
• &lt;hostname&gt; placeholders filled from the DB before sending.</t>
  </si>
  <si>
    <t xml:space="preserve">NCP R2.0 Test Report.xlsx - AINOC-ONES-API.csv (45 rows — Title is the prompt). Use as-is; the sheet is capped at 45.</t>
  </si>
  <si>
    <t xml:space="preserve">ones_api_181</t>
  </si>
  <si>
    <t xml:space="preserve">Never run t1.py — it empties the ts_* tables and wipes this ground truth.</t>
  </si>
  <si>
    <t xml:space="preserve">AINOC-P05</t>
  </si>
  <si>
    <t xml:space="preserve">ONES — MCP connector (#ones-37-mcp)</t>
  </si>
  <si>
    <t xml:space="preserve">Installation ID, inventory, device health, fabric summary, Fabric Manager GPUs per host and tenant, traffic counters, transceivers.</t>
  </si>
  <si>
    <t xml:space="preserve">#ones-37-mcp can you get the installation id
#ones-37-mcp how many GPUs are allocated to each tenant in fabric Fabric?
#ones-37-mcp what is the fabric health status?</t>
  </si>
  <si>
    <t xml:space="preserve">ONES REST / Fabric Manager API on the same host. FM getAllGpusList fields: gpuHostname, gpuStatus, tenantName, config_status.</t>
  </si>
  <si>
    <t xml:space="preserve">Values match ONES. Tenant GPU counts match FM.</t>
  </si>
  <si>
    <t xml:space="preserve">• ONES routes that fail on this build (13 × 404, 9 × 500) → NCP says it could not get the data; no invented values.
• Bulk counters allow max 1 day → a '7 days' ask is clamped or explained.
• A host in ONES inventory but not in the fabric (hgx-su00-v100) is not counted as a fabric GPU host.
• CRC / drops read 0 in GNS3 → 'not testable in simulation', not a pass.</t>
  </si>
  <si>
    <t xml:space="preserve">AI-NOC-ONES-T-API-Test-Prompts.pdf (T1–T20, MCP path) · Uncovered-Metric prompts O1–O9</t>
  </si>
  <si>
    <t xml:space="preserve">ones_mcp</t>
  </si>
  <si>
    <t xml:space="preserve">Read-only prompts only. No create / delete tenant or reboot prompts in this suite.</t>
  </si>
  <si>
    <t xml:space="preserve">AINOC-P06</t>
  </si>
  <si>
    <t xml:space="preserve">AI Factory audit report (Use Case 1)</t>
  </si>
  <si>
    <t xml:space="preserve">Full audit, component-scoped audit, and 'last report from cache'. Every graded row's Observed value and Status, plus the required parts: UTC timestamp, table with previous status, chart, evidence, PDF link.</t>
  </si>
  <si>
    <t xml:space="preserve">Generate audit report for AI factory
Show the last AI factory audit report
(plus the component-scoped prompt from the Use Case 1 sheet)</t>
  </si>
  <si>
    <t xml:space="preserve">AI Factory Audit Report.docx (48 rows + Madhu's 4 overrides) and the live source values (same truth as P01–P05) → expected status per row.</t>
  </si>
  <si>
    <t xml:space="preserve">Status matches on every graded row. Printed criteria match the policy. All required parts present.</t>
  </si>
  <si>
    <t xml:space="preserve">• Run:ai (4) and UFM (10) rows → N/A with a reason, never Fail.
• ONES zeros → 'not testable in simulation'.
• 'Worst of N' rows must name the real worst GPU / endpoint.
• Criteria printed with ≤ and ≥ flipped (known issue).</t>
  </si>
  <si>
    <t xml:space="preserve">AI NOC Platform.xlsx → 'Use Case 1 Audit Report' (4 prompts)</t>
  </si>
  <si>
    <t xml:space="preserve">audit</t>
  </si>
  <si>
    <t xml:space="preserve">Timeout 600 s (runs take 2–4 min). The audit asks follow-ups (fabric name, window, approval) — answer them from a fixed reply, not an LLM.</t>
  </si>
  <si>
    <t xml:space="preserve">AINOC-P07</t>
  </si>
  <si>
    <t xml:space="preserve">Troubleshooting / RCA (Use Case 2)</t>
  </si>
  <si>
    <t xml:space="preserve">The 4-part answer — onset, metric table vs baseline, one responsible layer with the others ruled out, recommended action — and the numbers in its table.</t>
  </si>
  <si>
    <t xml:space="preserve">Why is inference endpoint 10.20.11.73:8120 slow?
Why did TTFT increase for model gpt-oss-120b in the last hour?
Which endpoints have poor KV cache efficiency, token waste, or low MFU?</t>
  </si>
  <si>
    <t xml:space="preserve">Section check on the answer. Table values vs the DCGM / Dynamo / BCM truth (same as P01–P03).</t>
  </si>
  <si>
    <t xml:space="preserve">All 4 sections, in order. Table values within tolerance. The named layer is backed by the numbers.</t>
  </si>
  <si>
    <t xml:space="preserve">• Unknown endpoint → no invented metrics.
• No history configured → onset says 'requires history', not a made-up time.
• Prompts that need Run:ai (workloads, tenants) are skipped.</t>
  </si>
  <si>
    <t xml:space="preserve">AI NOC Platform.xlsx → 'Use Case 2 Troubleshooting' (9 prompts; skip the Run:ai ones)</t>
  </si>
  <si>
    <t xml:space="preserve">rca</t>
  </si>
  <si>
    <t xml:space="preserve">—</t>
  </si>
  <si>
    <t xml:space="preserve">AINOC-P08</t>
  </si>
  <si>
    <t xml:space="preserve">Compliance verdict prompts (one metric)</t>
  </si>
  <si>
    <t xml:space="preserve">'Is it Compliant, Warning or Fail?' for one metric. The verdict must use the policy band, never invented thresholds.</t>
  </si>
  <si>
    <t xml:space="preserve">#dynamo what is the KV cache miss rate for each endpoint, and is it Compliant, Warning or Fail?
#dcgm are there any PCIe replay errors on any GPU, and is that compliant?
#bcm is node health compliant?</t>
  </si>
  <si>
    <t xml:space="preserve">Value from the P01–P03 truth + bands from AI NOC Platform - Data Connectors.csv / AI Factory Audit Report.docx.</t>
  </si>
  <si>
    <t xml:space="preserve">Verdict equal to the band result. Any thresholds quoted equal the policy.</t>
  </si>
  <si>
    <t xml:space="preserve">• No thresholds in the prompt → uses the policy or asks; never invents (open bug).
• Values exactly on a band edge (e.g. hit 80%).
• 'Configurable' metrics with no number in the policy → do not grade the number.</t>
  </si>
  <si>
    <t xml:space="preserve">Verdict rows in AI-NOC-Prompts.csv + one new prompt per policy row</t>
  </si>
  <si>
    <t xml:space="preserve">verdicts</t>
  </si>
  <si>
    <t xml:space="preserve">Dynamo invented-thresholds bug was reopened (still inventing bands).</t>
  </si>
  <si>
    <t xml:space="preserve">AINOC-P09</t>
  </si>
  <si>
    <t xml:space="preserve">Cross-domain and AI NOC summary</t>
  </si>
  <si>
    <t xml:space="preserve">Prompts that must join two or more connectors: GPU ↔ node, endpoint ↔ GPU host, and the 'AI NOC summary'.</t>
  </si>
  <si>
    <t xml:space="preserve">Which of the BCM-managed nodes have GPU telemetry, and which do not?
How many GPUs does the fleet have, and how many compute nodes manage them?
AI NOC summary</t>
  </si>
  <si>
    <t xml:space="preserve">Each part vs its own source. Joint answer key in DCGM-BCM-Cross-Domain-Test-Prompts.md §0.2.</t>
  </si>
  <si>
    <t xml:space="preserve">Each domain part correct. Every linked domain present. No blended numbers.</t>
  </si>
  <si>
    <t xml:space="preserve">• Run untagged — a #tag scopes the answer to one connector.
• One blended number for a two-source question → FAIL.
• One source down → reported as down, not silently dropped.</t>
  </si>
  <si>
    <t xml:space="preserve">DCGM-BCM-Cross-Domain-Test-Prompts.md (16, X1–X16) · AI NOC Platform.xlsx → 'Demo Prompts ainoc' (25)</t>
  </si>
  <si>
    <t xml:space="preserve">cross_domain</t>
  </si>
  <si>
    <t xml:space="preserve">AINOC-P10</t>
  </si>
  <si>
    <t xml:space="preserve">Time-window and trend prompts</t>
  </si>
  <si>
    <t xml:space="preserve">'Last hour / last 24 hours / when did it spike / how has it changed' answers.</t>
  </si>
  <si>
    <t xml:space="preserve">#dcgm what was the GPU temperature over the last hour
#dcgm when did GPU utilization last spike
#dynamo how has TTFT changed over the last hour</t>
  </si>
  <si>
    <t xml:space="preserve">Prometheus query_range over the same window (min / avg / max, spike time). ONES bulk counters for ≤ 1 day.</t>
  </si>
  <si>
    <t xml:space="preserve">Min / avg / max within tolerance. Spike time within one step. The window asked for is honoured.</t>
  </si>
  <si>
    <t xml:space="preserve">• A snapshot answered as if it were history → FAIL.
• Window longer than the source keeps → says so.
• Chart prompts ('show GPU utilization across the fleet over the last 24 hours') → check the series values from the tool, not the picture.</t>
  </si>
  <si>
    <t xml:space="preserve">Time rows in AI-NOC-Prompts.csv (5, 6, 7, 32) + new ones</t>
  </si>
  <si>
    <t xml:space="preserve">trends</t>
  </si>
  <si>
    <t xml:space="preserve">Columns of data/ainoc_prompts.xlsx (one sheet per area: dcgm, dynamo, bcm, ones_api_181, ones_mcp, audit, rca, verdicts, cross_domain, trends)</t>
  </si>
  <si>
    <t xml:space="preserve">Column</t>
  </si>
  <si>
    <t xml:space="preserve">Required</t>
  </si>
  <si>
    <t xml:space="preserve">What to put in it</t>
  </si>
  <si>
    <t xml:space="preserve">Prompts</t>
  </si>
  <si>
    <t xml:space="preserve">Yes</t>
  </si>
  <si>
    <t xml:space="preserve">The exact text to send, with the #tag where the area needs one (cross-domain prompts run untagged).</t>
  </si>
  <si>
    <t xml:space="preserve">Chat_Scope</t>
  </si>
  <si>
    <t xml:space="preserve">No</t>
  </si>
  <si>
    <t xml:space="preserve">admin | project | both. Default both (PASS needs both).</t>
  </si>
  <si>
    <t xml:space="preserve">Truth_Type</t>
  </si>
  <si>
    <t xml:space="preserve">promql | promql_range | vllm | bcm | sql | ones_rest | ones_fm | policy | audit | rca — which truth module fetches the right answer.</t>
  </si>
  <si>
    <t xml:space="preserve">Truth_Query</t>
  </si>
  <si>
    <t xml:space="preserve">The PromQL, SQL, REST path or formula name the truth module runs.</t>
  </si>
  <si>
    <t xml:space="preserve">Compare</t>
  </si>
  <si>
    <t xml:space="preserve">per_gpu | per_endpoint | per_node | count | top1 | rows | verdict | sections | not_available — how the answer is checked.</t>
  </si>
  <si>
    <t xml:space="preserve">Tolerance</t>
  </si>
  <si>
    <t xml:space="preserve">e.g. 2 (°C), 5%, exact. Blank = exact.</t>
  </si>
  <si>
    <t xml:space="preserve">Expected_Verdict</t>
  </si>
  <si>
    <t xml:space="preserve">Compliant | Warning | Fail | N/A. Blank = work it out from the policy band.</t>
  </si>
  <si>
    <t xml:space="preserve">Follow_Up_Answer</t>
  </si>
  <si>
    <t xml:space="preserve">Fixed reply if NCP asks a question back (used by audit prompts).</t>
  </si>
  <si>
    <t xml:space="preserve">Known_Issue</t>
  </si>
  <si>
    <t xml:space="preserve">Finding / bug reference. Filled → the row is marked expected-fail until fixed.</t>
  </si>
  <si>
    <t xml:space="preserve">Notes</t>
  </si>
  <si>
    <t xml:space="preserve">Anything a tester needs to know.</t>
  </si>
  <si>
    <t xml:space="preserve">See the 'Example Rows' tab for one filled row per area type.</t>
  </si>
  <si>
    <t xml:space="preserve">Example rows — one per area type (shaded). Replace with real rows when building data/ainoc_prompts.xlsx.</t>
  </si>
  <si>
    <t xml:space="preserve">Sheet</t>
  </si>
  <si>
    <t xml:space="preserve">#dcgm which GPU is running hottest</t>
  </si>
  <si>
    <t xml:space="preserve">both</t>
  </si>
  <si>
    <t xml:space="preserve">promql</t>
  </si>
  <si>
    <t xml:space="preserve">topk(1, DCGM_FI_DEV_GPU_TEMP)</t>
  </si>
  <si>
    <t xml:space="preserve">top1</t>
  </si>
  <si>
    <t xml:space="preserve">2 °C</t>
  </si>
  <si>
    <t xml:space="preserve">#dynamo which endpoint has the worst TTFT</t>
  </si>
  <si>
    <t xml:space="preserve">vllm</t>
  </si>
  <si>
    <t xml:space="preserve">ttft_avg = time_to_first_token_seconds_sum / _count</t>
  </si>
  <si>
    <t xml:space="preserve">5%</t>
  </si>
  <si>
    <t xml:space="preserve">#bcm how many nodes does BCM manage in total, and how many are up, down and closed?</t>
  </si>
  <si>
    <t xml:space="preserve">NodesTotal, NodesUp, NodesDown, NodesClosed (raw)</t>
  </si>
  <si>
    <t xml:space="preserve">count</t>
  </si>
  <si>
    <t xml:space="preserve">exact</t>
  </si>
  <si>
    <t xml:space="preserve">#ones-api-181 How many devices are in my network?</t>
  </si>
  <si>
    <t xml:space="preserve">sql</t>
  </si>
  <si>
    <t xml:space="preserve">SELECT count(*) FROM device_inventory WHERE dataconnector_tags = 'ones-api-181'</t>
  </si>
  <si>
    <t xml:space="preserve">#ones-api-181 What alerts are active right now?</t>
  </si>
  <si>
    <t xml:space="preserve">(no alerts table for this connector)</t>
  </si>
  <si>
    <t xml:space="preserve">not_available</t>
  </si>
  <si>
    <t xml:space="preserve">#ones-37-mcp how many GPUs are allocated to each tenant in fabric Fabric?</t>
  </si>
  <si>
    <t xml:space="preserve">ones_fm</t>
  </si>
  <si>
    <t xml:space="preserve">GET /getAllGpusList/Fabric → count by tenantName</t>
  </si>
  <si>
    <t xml:space="preserve">rows</t>
  </si>
  <si>
    <t xml:space="preserve">Generate audit report for AI factory</t>
  </si>
  <si>
    <t xml:space="preserve">project</t>
  </si>
  <si>
    <t xml:space="preserve">data/compliance_truth.yaml</t>
  </si>
  <si>
    <t xml:space="preserve">sections + verdict per row</t>
  </si>
  <si>
    <t xml:space="preserve">per row</t>
  </si>
  <si>
    <t xml:space="preserve">Fabric: Fabric. Window: last 1 hour. Yes, proceed.</t>
  </si>
  <si>
    <t xml:space="preserve">Criteria ≤/≥ mis-render</t>
  </si>
  <si>
    <t xml:space="preserve">#dynamo what is the KV cache miss rate for each endpoint, and is it Compliant, Warning or Fail?</t>
  </si>
  <si>
    <t xml:space="preserve">policy</t>
  </si>
  <si>
    <t xml:space="preserve">miss = 1 − hits/queries; bands ≤20 / 21–40 / &gt;40</t>
  </si>
  <si>
    <t xml:space="preserve">verdict</t>
  </si>
  <si>
    <t xml:space="preserve">0.5 pts</t>
  </si>
  <si>
    <t xml:space="preserve">Invented thresholds (reopened)</t>
  </si>
  <si>
    <t xml:space="preserve">Old ID</t>
  </si>
  <si>
    <t xml:space="preserve">Old Use Case</t>
  </si>
  <si>
    <t xml:space="preserve">What Happened</t>
  </si>
  <si>
    <t xml:space="preserve">AINOC-UC-01</t>
  </si>
  <si>
    <t xml:space="preserve">Connector validate-before-create</t>
  </si>
  <si>
    <t xml:space="preserve">Removed — API level, handled separately</t>
  </si>
  <si>
    <t xml:space="preserve">AINOC-UC-02</t>
  </si>
  <si>
    <t xml:space="preserve">Project scoping and agent self-gating</t>
  </si>
  <si>
    <t xml:space="preserve">Removed</t>
  </si>
  <si>
    <t xml:space="preserve">AINOC-UC-03</t>
  </si>
  <si>
    <t xml:space="preserve">Audit report contract</t>
  </si>
  <si>
    <t xml:space="preserve">Merged into AINOC-P06</t>
  </si>
  <si>
    <t xml:space="preserve">AINOC-UC-04</t>
  </si>
  <si>
    <t xml:space="preserve">Audit verdicts vs ground truth</t>
  </si>
  <si>
    <t xml:space="preserve">AINOC-UC-05</t>
  </si>
  <si>
    <t xml:space="preserve">Troubleshooting RCA contract</t>
  </si>
  <si>
    <t xml:space="preserve">Kept as AINOC-P07</t>
  </si>
  <si>
    <t xml:space="preserve">AINOC-UC-06</t>
  </si>
  <si>
    <t xml:space="preserve">AI NOC summary fan-out and fail-open</t>
  </si>
  <si>
    <t xml:space="preserve">Prompt part kept in AINOC-P09; fault injection removed</t>
  </si>
  <si>
    <t xml:space="preserve">AINOC-UC-07</t>
  </si>
  <si>
    <t xml:space="preserve">ONES API vs MCP transport routing</t>
  </si>
  <si>
    <t xml:space="preserve">Routing checks removed; the prompts live in AINOC-P04 and AINOC-P05</t>
  </si>
  <si>
    <t xml:space="preserve">AINOC-UC-08</t>
  </si>
  <si>
    <t xml:space="preserve">ONES-FM write confirmation gate</t>
  </si>
  <si>
    <t xml:space="preserve">AINOC-UC-09</t>
  </si>
  <si>
    <t xml:space="preserve">DCGM Q&amp;A vs Prometheus</t>
  </si>
  <si>
    <t xml:space="preserve">Kept as AINOC-P01</t>
  </si>
  <si>
    <t xml:space="preserve">AINOC-UC-10</t>
  </si>
  <si>
    <t xml:space="preserve">Dynamo Q&amp;A and threshold verdicts</t>
  </si>
  <si>
    <t xml:space="preserve">Kept as AINOC-P02; verdict part in AINOC-P08</t>
  </si>
  <si>
    <t xml:space="preserve">AINOC-UC-11</t>
  </si>
  <si>
    <t xml:space="preserve">Audit verbatim relay (chat / PDF)</t>
  </si>
  <si>
    <t xml:space="preserve">Criteria check folded into AINOC-P06; PDF diff removed</t>
  </si>
  <si>
    <t xml:space="preserve">AINOC-UC-12</t>
  </si>
  <si>
    <t xml:space="preserve">compliance_policy.json override</t>
  </si>
  <si>
    <t xml:space="preserve">AINOC-UC-13</t>
  </si>
  <si>
    <t xml:space="preserve">Compliance transition and previous status</t>
  </si>
  <si>
    <t xml:space="preserve">AINOC-UC-14</t>
  </si>
  <si>
    <t xml:space="preserve">Scheduled audit and last report from cache</t>
  </si>
  <si>
    <t xml:space="preserve">'Last report' prompt kept in AINOC-P06; background job removed</t>
  </si>
  <si>
    <t xml:space="preserve">AINOC-UC-15</t>
  </si>
  <si>
    <t xml:space="preserve">BCM Q&amp;A vs BCM REST</t>
  </si>
  <si>
    <t xml:space="preserve">Kept as AINOC-P03</t>
  </si>
  <si>
    <t xml:space="preserve">AINOC-UC-16</t>
  </si>
  <si>
    <t xml:space="preserve">ONES MCP reads vs ONES REST / FM</t>
  </si>
  <si>
    <t xml:space="preserve">Kept as AINOC-P05</t>
  </si>
  <si>
    <t xml:space="preserve">AINOC-UC-17</t>
  </si>
  <si>
    <t xml:space="preserve">ONES API-mode export per instance</t>
  </si>
  <si>
    <t xml:space="preserve">Removed — API level</t>
  </si>
  <si>
    <t xml:space="preserve">AINOC-UC-18</t>
  </si>
  <si>
    <t xml:space="preserve">features.yml gating</t>
  </si>
  <si>
    <t xml:space="preserve">AINOC-UC-19</t>
  </si>
  <si>
    <t xml:space="preserve">Connector health and failure modes</t>
  </si>
  <si>
    <t xml:space="preserve">AINOC-UC-20</t>
  </si>
  <si>
    <t xml:space="preserve">Credential and secret hygiene</t>
  </si>
  <si>
    <t xml:space="preserve">AINOC-UC-21</t>
  </si>
  <si>
    <t xml:space="preserve">Intent routing and no-tool-answer guard</t>
  </si>
  <si>
    <t xml:space="preserve">AINOC-UC-22</t>
  </si>
  <si>
    <t xml:space="preserve">Audit performance and token budget</t>
  </si>
  <si>
    <t xml:space="preserve">AINOC-UC-23</t>
  </si>
  <si>
    <t xml:space="preserve">Token Compression (Headroom) parity</t>
  </si>
  <si>
    <t xml:space="preserve">AINOC-UC-24</t>
  </si>
  <si>
    <t xml:space="preserve">Cross-domain join keys</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</si>
</sst>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sz val="9"/>
      <name val="Arial"/>
      <family val="0"/>
      <charset val="1"/>
    </font>
    <font>
      <b val="true"/>
      <sz val="9"/>
      <name val="Arial"/>
      <family val="0"/>
      <charset val="1"/>
    </font>
    <font>
      <b val="true"/>
      <sz val="11"/>
      <color rgb="FF1F4E79"/>
      <name val="Arial"/>
      <family val="0"/>
      <charset val="1"/>
    </font>
    <font>
      <b val="true"/>
      <sz val="10"/>
      <color rgb="FFFFFFFF"/>
      <name val="Arial"/>
      <family val="0"/>
      <charset val="1"/>
    </font>
  </fonts>
  <fills count="7">
    <fill>
      <patternFill patternType="none"/>
    </fill>
    <fill>
      <patternFill patternType="gray125"/>
    </fill>
    <fill>
      <patternFill patternType="solid">
        <fgColor rgb="FF1F4E79"/>
        <bgColor rgb="FF003366"/>
      </patternFill>
    </fill>
    <fill>
      <patternFill patternType="solid">
        <fgColor rgb="FFF8CBAD"/>
        <bgColor rgb="FFFFE699"/>
      </patternFill>
    </fill>
    <fill>
      <patternFill patternType="solid">
        <fgColor rgb="FFFFE699"/>
        <bgColor rgb="FFFFF2CC"/>
      </patternFill>
    </fill>
    <fill>
      <patternFill patternType="solid">
        <fgColor rgb="FFF7F9FC"/>
        <bgColor rgb="FFFFFFFF"/>
      </patternFill>
    </fill>
    <fill>
      <patternFill patternType="solid">
        <fgColor rgb="FFFFF2CC"/>
        <bgColor rgb="FFF7F9F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9"/>
          <bgColor rgb="FF000000"/>
        </patternFill>
      </fill>
    </dxf>
    <dxf>
      <fill>
        <patternFill patternType="solid">
          <fgColor rgb="FFF7F9FC"/>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7F9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4"/>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16"/>
    <col collapsed="false" customWidth="true" hidden="false" outlineLevel="0" max="7" min="7" style="0" width="40"/>
  </cols>
  <sheetData>
    <row r="1" customFormat="false" ht="17.35" hidden="false" customHeight="false" outlineLevel="0" collapsed="false">
      <c r="A1" s="1" t="s">
        <v>0</v>
      </c>
    </row>
    <row r="2" customFormat="false" ht="15" hidden="false" customHeight="false" outlineLevel="0" collapsed="false">
      <c r="A2" s="2" t="s">
        <v>1</v>
      </c>
    </row>
    <row r="4" customFormat="false" ht="37.5" hidden="false" customHeight="true" outlineLevel="0" collapsed="false">
      <c r="A4" s="3" t="s">
        <v>2</v>
      </c>
      <c r="B4" s="4" t="s">
        <v>3</v>
      </c>
      <c r="C4" s="4"/>
      <c r="D4" s="4"/>
      <c r="E4" s="4"/>
      <c r="F4" s="4"/>
      <c r="G4" s="4"/>
    </row>
    <row r="5" customFormat="false" ht="112.5" hidden="false" customHeight="true" outlineLevel="0" collapsed="false">
      <c r="A5" s="3" t="s">
        <v>4</v>
      </c>
      <c r="B5" s="4" t="s">
        <v>5</v>
      </c>
      <c r="C5" s="4"/>
      <c r="D5" s="4"/>
      <c r="E5" s="4"/>
      <c r="F5" s="4"/>
      <c r="G5" s="4"/>
    </row>
    <row r="6" customFormat="false" ht="75" hidden="false" customHeight="true" outlineLevel="0" collapsed="false">
      <c r="A6" s="3" t="s">
        <v>6</v>
      </c>
      <c r="B6" s="4" t="s">
        <v>7</v>
      </c>
      <c r="C6" s="4"/>
      <c r="D6" s="4"/>
      <c r="E6" s="4"/>
      <c r="F6" s="4"/>
      <c r="G6" s="4"/>
    </row>
    <row r="7" customFormat="false" ht="112.5" hidden="false" customHeight="true" outlineLevel="0" collapsed="false">
      <c r="A7" s="3" t="s">
        <v>8</v>
      </c>
      <c r="B7" s="4" t="s">
        <v>9</v>
      </c>
      <c r="C7" s="4"/>
      <c r="D7" s="4"/>
      <c r="E7" s="4"/>
      <c r="F7" s="4"/>
      <c r="G7" s="4"/>
    </row>
    <row r="8" customFormat="false" ht="24.75" hidden="false" customHeight="true" outlineLevel="0" collapsed="false">
      <c r="A8" s="3" t="s">
        <v>10</v>
      </c>
      <c r="B8" s="4" t="s">
        <v>11</v>
      </c>
      <c r="C8" s="4"/>
      <c r="D8" s="4"/>
      <c r="E8" s="4"/>
      <c r="F8" s="4"/>
      <c r="G8" s="4"/>
    </row>
    <row r="10" customFormat="false" ht="15" hidden="false" customHeight="false" outlineLevel="0" collapsed="false">
      <c r="A10" s="5" t="s">
        <v>12</v>
      </c>
    </row>
    <row r="11" customFormat="false" ht="15" hidden="false" customHeight="false" outlineLevel="0" collapsed="false">
      <c r="A11" s="6" t="s">
        <v>13</v>
      </c>
      <c r="B11" s="6" t="s">
        <v>14</v>
      </c>
    </row>
    <row r="12" customFormat="false" ht="15" hidden="false" customHeight="false" outlineLevel="0" collapsed="false">
      <c r="A12" s="7" t="s">
        <v>15</v>
      </c>
      <c r="B12" s="8" t="n">
        <f aca="false">COUNTIF('Use Cases'!$B$2:$B$11,"P0")</f>
        <v>7</v>
      </c>
    </row>
    <row r="13" customFormat="false" ht="15" hidden="false" customHeight="false" outlineLevel="0" collapsed="false">
      <c r="A13" s="9" t="s">
        <v>16</v>
      </c>
      <c r="B13" s="8" t="n">
        <f aca="false">COUNTIF('Use Cases'!$B$2:$B$11,"P1")</f>
        <v>3</v>
      </c>
    </row>
    <row r="14" customFormat="false" ht="15" hidden="false" customHeight="false" outlineLevel="0" collapsed="false">
      <c r="A14" s="10" t="s">
        <v>17</v>
      </c>
      <c r="B14" s="10" t="n">
        <f aca="false">SUM(B12:B13)</f>
        <v>10</v>
      </c>
    </row>
  </sheetData>
  <mergeCells count="5">
    <mergeCell ref="B4:G4"/>
    <mergeCell ref="B5:G5"/>
    <mergeCell ref="B6:G6"/>
    <mergeCell ref="B7:G7"/>
    <mergeCell ref="B8:G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22"/>
    <col collapsed="false" customWidth="true" hidden="false" outlineLevel="0" max="4" min="4" style="0" width="40"/>
    <col collapsed="false" customWidth="true" hidden="false" outlineLevel="0" max="5" min="5" style="0" width="44"/>
    <col collapsed="false" customWidth="true" hidden="false" outlineLevel="0" max="6" min="6" style="0" width="40"/>
    <col collapsed="false" customWidth="true" hidden="false" outlineLevel="0" max="7" min="7" style="0" width="32"/>
    <col collapsed="false" customWidth="true" hidden="false" outlineLevel="0" max="8" min="8" style="0" width="52"/>
    <col collapsed="false" customWidth="true" hidden="false" outlineLevel="0" max="9" min="9" style="0" width="34"/>
    <col collapsed="false" customWidth="true" hidden="false" outlineLevel="0" max="10" min="10" style="0" width="13"/>
    <col collapsed="false" customWidth="true" hidden="false" outlineLevel="0" max="11" min="11" style="0" width="36"/>
  </cols>
  <sheetData>
    <row r="1" customFormat="false" ht="30" hidden="false" customHeight="true" outlineLevel="0" collapsed="false">
      <c r="A1" s="6" t="s">
        <v>18</v>
      </c>
      <c r="B1" s="6" t="s">
        <v>13</v>
      </c>
      <c r="C1" s="6" t="s">
        <v>19</v>
      </c>
      <c r="D1" s="6" t="s">
        <v>20</v>
      </c>
      <c r="E1" s="6" t="s">
        <v>21</v>
      </c>
      <c r="F1" s="6" t="s">
        <v>22</v>
      </c>
      <c r="G1" s="6" t="s">
        <v>23</v>
      </c>
      <c r="H1" s="6" t="s">
        <v>24</v>
      </c>
      <c r="I1" s="6" t="s">
        <v>25</v>
      </c>
      <c r="J1" s="6" t="s">
        <v>26</v>
      </c>
      <c r="K1" s="6" t="s">
        <v>27</v>
      </c>
    </row>
    <row r="2" customFormat="false" ht="74.6" hidden="false" customHeight="false" outlineLevel="0" collapsed="false">
      <c r="A2" s="10" t="s">
        <v>28</v>
      </c>
      <c r="B2" s="7" t="s">
        <v>15</v>
      </c>
      <c r="C2" s="11" t="s">
        <v>29</v>
      </c>
      <c r="D2" s="12" t="s">
        <v>30</v>
      </c>
      <c r="E2" s="12" t="s">
        <v>31</v>
      </c>
      <c r="F2" s="12" t="s">
        <v>32</v>
      </c>
      <c r="G2" s="12" t="s">
        <v>33</v>
      </c>
      <c r="H2" s="12" t="s">
        <v>34</v>
      </c>
      <c r="I2" s="12" t="s">
        <v>35</v>
      </c>
      <c r="J2" s="8" t="s">
        <v>36</v>
      </c>
      <c r="K2" s="12" t="s">
        <v>37</v>
      </c>
    </row>
    <row r="3" customFormat="false" ht="74.6" hidden="false" customHeight="false" outlineLevel="0" collapsed="false">
      <c r="A3" s="13" t="s">
        <v>38</v>
      </c>
      <c r="B3" s="7" t="s">
        <v>15</v>
      </c>
      <c r="C3" s="14" t="s">
        <v>39</v>
      </c>
      <c r="D3" s="15" t="s">
        <v>40</v>
      </c>
      <c r="E3" s="15" t="s">
        <v>41</v>
      </c>
      <c r="F3" s="15" t="s">
        <v>42</v>
      </c>
      <c r="G3" s="15" t="s">
        <v>43</v>
      </c>
      <c r="H3" s="15" t="s">
        <v>44</v>
      </c>
      <c r="I3" s="15" t="s">
        <v>45</v>
      </c>
      <c r="J3" s="16" t="s">
        <v>46</v>
      </c>
      <c r="K3" s="15" t="s">
        <v>47</v>
      </c>
    </row>
    <row r="4" customFormat="false" ht="64.15" hidden="false" customHeight="false" outlineLevel="0" collapsed="false">
      <c r="A4" s="10" t="s">
        <v>48</v>
      </c>
      <c r="B4" s="7" t="s">
        <v>15</v>
      </c>
      <c r="C4" s="11" t="s">
        <v>49</v>
      </c>
      <c r="D4" s="12" t="s">
        <v>50</v>
      </c>
      <c r="E4" s="12" t="s">
        <v>51</v>
      </c>
      <c r="F4" s="12" t="s">
        <v>52</v>
      </c>
      <c r="G4" s="12" t="s">
        <v>53</v>
      </c>
      <c r="H4" s="12" t="s">
        <v>54</v>
      </c>
      <c r="I4" s="12" t="s">
        <v>55</v>
      </c>
      <c r="J4" s="8" t="s">
        <v>56</v>
      </c>
      <c r="K4" s="12" t="s">
        <v>57</v>
      </c>
    </row>
    <row r="5" customFormat="false" ht="53.7" hidden="false" customHeight="false" outlineLevel="0" collapsed="false">
      <c r="A5" s="13" t="s">
        <v>58</v>
      </c>
      <c r="B5" s="7" t="s">
        <v>15</v>
      </c>
      <c r="C5" s="14" t="s">
        <v>59</v>
      </c>
      <c r="D5" s="15" t="s">
        <v>60</v>
      </c>
      <c r="E5" s="15" t="s">
        <v>61</v>
      </c>
      <c r="F5" s="15" t="s">
        <v>62</v>
      </c>
      <c r="G5" s="15" t="s">
        <v>63</v>
      </c>
      <c r="H5" s="15" t="s">
        <v>64</v>
      </c>
      <c r="I5" s="15" t="s">
        <v>65</v>
      </c>
      <c r="J5" s="16" t="s">
        <v>66</v>
      </c>
      <c r="K5" s="15" t="s">
        <v>67</v>
      </c>
    </row>
    <row r="6" customFormat="false" ht="85.05" hidden="false" customHeight="false" outlineLevel="0" collapsed="false">
      <c r="A6" s="10" t="s">
        <v>68</v>
      </c>
      <c r="B6" s="7" t="s">
        <v>15</v>
      </c>
      <c r="C6" s="11" t="s">
        <v>69</v>
      </c>
      <c r="D6" s="12" t="s">
        <v>70</v>
      </c>
      <c r="E6" s="12" t="s">
        <v>71</v>
      </c>
      <c r="F6" s="12" t="s">
        <v>72</v>
      </c>
      <c r="G6" s="12" t="s">
        <v>73</v>
      </c>
      <c r="H6" s="12" t="s">
        <v>74</v>
      </c>
      <c r="I6" s="12" t="s">
        <v>75</v>
      </c>
      <c r="J6" s="8" t="s">
        <v>76</v>
      </c>
      <c r="K6" s="12" t="s">
        <v>77</v>
      </c>
    </row>
    <row r="7" customFormat="false" ht="43.25" hidden="false" customHeight="false" outlineLevel="0" collapsed="false">
      <c r="A7" s="13" t="s">
        <v>78</v>
      </c>
      <c r="B7" s="7" t="s">
        <v>15</v>
      </c>
      <c r="C7" s="14" t="s">
        <v>79</v>
      </c>
      <c r="D7" s="15" t="s">
        <v>80</v>
      </c>
      <c r="E7" s="15" t="s">
        <v>81</v>
      </c>
      <c r="F7" s="15" t="s">
        <v>82</v>
      </c>
      <c r="G7" s="15" t="s">
        <v>83</v>
      </c>
      <c r="H7" s="15" t="s">
        <v>84</v>
      </c>
      <c r="I7" s="15" t="s">
        <v>85</v>
      </c>
      <c r="J7" s="16" t="s">
        <v>86</v>
      </c>
      <c r="K7" s="15" t="s">
        <v>87</v>
      </c>
    </row>
    <row r="8" customFormat="false" ht="53.7" hidden="false" customHeight="false" outlineLevel="0" collapsed="false">
      <c r="A8" s="10" t="s">
        <v>88</v>
      </c>
      <c r="B8" s="7" t="s">
        <v>15</v>
      </c>
      <c r="C8" s="11" t="s">
        <v>89</v>
      </c>
      <c r="D8" s="12" t="s">
        <v>90</v>
      </c>
      <c r="E8" s="12" t="s">
        <v>91</v>
      </c>
      <c r="F8" s="12" t="s">
        <v>92</v>
      </c>
      <c r="G8" s="12" t="s">
        <v>93</v>
      </c>
      <c r="H8" s="12" t="s">
        <v>94</v>
      </c>
      <c r="I8" s="12" t="s">
        <v>95</v>
      </c>
      <c r="J8" s="8" t="s">
        <v>96</v>
      </c>
      <c r="K8" s="12" t="s">
        <v>97</v>
      </c>
    </row>
    <row r="9" customFormat="false" ht="53.7" hidden="false" customHeight="false" outlineLevel="0" collapsed="false">
      <c r="A9" s="13" t="s">
        <v>98</v>
      </c>
      <c r="B9" s="9" t="s">
        <v>16</v>
      </c>
      <c r="C9" s="14" t="s">
        <v>99</v>
      </c>
      <c r="D9" s="15" t="s">
        <v>100</v>
      </c>
      <c r="E9" s="15" t="s">
        <v>101</v>
      </c>
      <c r="F9" s="15" t="s">
        <v>102</v>
      </c>
      <c r="G9" s="15" t="s">
        <v>103</v>
      </c>
      <c r="H9" s="15" t="s">
        <v>104</v>
      </c>
      <c r="I9" s="15" t="s">
        <v>105</v>
      </c>
      <c r="J9" s="16" t="s">
        <v>106</v>
      </c>
      <c r="K9" s="15" t="s">
        <v>107</v>
      </c>
    </row>
    <row r="10" customFormat="false" ht="53.7" hidden="false" customHeight="false" outlineLevel="0" collapsed="false">
      <c r="A10" s="10" t="s">
        <v>108</v>
      </c>
      <c r="B10" s="9" t="s">
        <v>16</v>
      </c>
      <c r="C10" s="11" t="s">
        <v>109</v>
      </c>
      <c r="D10" s="12" t="s">
        <v>110</v>
      </c>
      <c r="E10" s="12" t="s">
        <v>111</v>
      </c>
      <c r="F10" s="12" t="s">
        <v>112</v>
      </c>
      <c r="G10" s="12" t="s">
        <v>113</v>
      </c>
      <c r="H10" s="12" t="s">
        <v>114</v>
      </c>
      <c r="I10" s="12" t="s">
        <v>115</v>
      </c>
      <c r="J10" s="8" t="s">
        <v>116</v>
      </c>
      <c r="K10" s="12" t="s">
        <v>97</v>
      </c>
    </row>
    <row r="11" customFormat="false" ht="43.25" hidden="false" customHeight="false" outlineLevel="0" collapsed="false">
      <c r="A11" s="13" t="s">
        <v>117</v>
      </c>
      <c r="B11" s="9" t="s">
        <v>16</v>
      </c>
      <c r="C11" s="14" t="s">
        <v>118</v>
      </c>
      <c r="D11" s="15" t="s">
        <v>119</v>
      </c>
      <c r="E11" s="15" t="s">
        <v>120</v>
      </c>
      <c r="F11" s="15" t="s">
        <v>121</v>
      </c>
      <c r="G11" s="15" t="s">
        <v>122</v>
      </c>
      <c r="H11" s="15" t="s">
        <v>123</v>
      </c>
      <c r="I11" s="15" t="s">
        <v>124</v>
      </c>
      <c r="J11" s="16" t="s">
        <v>125</v>
      </c>
      <c r="K11" s="15" t="s">
        <v>97</v>
      </c>
    </row>
  </sheetData>
  <autoFilter ref="A1:K11"/>
  <dataValidations count="1">
    <dataValidation allowBlank="false" errorStyle="stop" operator="between" showDropDown="false" showErrorMessage="false" showInputMessage="false" sqref="B2:B11" type="list">
      <formula1>"P0,P1"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
    <col collapsed="false" customWidth="true" hidden="false" outlineLevel="0" max="3" min="3" style="0" width="100"/>
  </cols>
  <sheetData>
    <row r="1" customFormat="false" ht="15" hidden="false" customHeight="false" outlineLevel="0" collapsed="false">
      <c r="A1" s="5" t="s">
        <v>126</v>
      </c>
    </row>
    <row r="3" customFormat="false" ht="15" hidden="false" customHeight="false" outlineLevel="0" collapsed="false">
      <c r="A3" s="6" t="s">
        <v>127</v>
      </c>
      <c r="B3" s="6" t="s">
        <v>128</v>
      </c>
      <c r="C3" s="6" t="s">
        <v>129</v>
      </c>
    </row>
    <row r="4" customFormat="false" ht="15" hidden="false" customHeight="false" outlineLevel="0" collapsed="false">
      <c r="A4" s="11" t="s">
        <v>130</v>
      </c>
      <c r="B4" s="8" t="s">
        <v>131</v>
      </c>
      <c r="C4" s="12" t="s">
        <v>132</v>
      </c>
    </row>
    <row r="5" customFormat="false" ht="15" hidden="false" customHeight="false" outlineLevel="0" collapsed="false">
      <c r="A5" s="11" t="s">
        <v>133</v>
      </c>
      <c r="B5" s="8" t="s">
        <v>134</v>
      </c>
      <c r="C5" s="12" t="s">
        <v>135</v>
      </c>
    </row>
    <row r="6" customFormat="false" ht="15" hidden="false" customHeight="false" outlineLevel="0" collapsed="false">
      <c r="A6" s="11" t="s">
        <v>136</v>
      </c>
      <c r="B6" s="8" t="s">
        <v>131</v>
      </c>
      <c r="C6" s="12" t="s">
        <v>137</v>
      </c>
    </row>
    <row r="7" customFormat="false" ht="15" hidden="false" customHeight="false" outlineLevel="0" collapsed="false">
      <c r="A7" s="11" t="s">
        <v>138</v>
      </c>
      <c r="B7" s="8" t="s">
        <v>131</v>
      </c>
      <c r="C7" s="12" t="s">
        <v>139</v>
      </c>
    </row>
    <row r="8" customFormat="false" ht="15" hidden="false" customHeight="false" outlineLevel="0" collapsed="false">
      <c r="A8" s="11" t="s">
        <v>140</v>
      </c>
      <c r="B8" s="8" t="s">
        <v>131</v>
      </c>
      <c r="C8" s="12" t="s">
        <v>141</v>
      </c>
    </row>
    <row r="9" customFormat="false" ht="15" hidden="false" customHeight="false" outlineLevel="0" collapsed="false">
      <c r="A9" s="11" t="s">
        <v>142</v>
      </c>
      <c r="B9" s="8" t="s">
        <v>134</v>
      </c>
      <c r="C9" s="12" t="s">
        <v>143</v>
      </c>
    </row>
    <row r="10" customFormat="false" ht="15" hidden="false" customHeight="false" outlineLevel="0" collapsed="false">
      <c r="A10" s="11" t="s">
        <v>144</v>
      </c>
      <c r="B10" s="8" t="s">
        <v>134</v>
      </c>
      <c r="C10" s="12" t="s">
        <v>145</v>
      </c>
    </row>
    <row r="11" customFormat="false" ht="15" hidden="false" customHeight="false" outlineLevel="0" collapsed="false">
      <c r="A11" s="11" t="s">
        <v>146</v>
      </c>
      <c r="B11" s="8" t="s">
        <v>134</v>
      </c>
      <c r="C11" s="12" t="s">
        <v>147</v>
      </c>
    </row>
    <row r="12" customFormat="false" ht="15" hidden="false" customHeight="false" outlineLevel="0" collapsed="false">
      <c r="A12" s="11" t="s">
        <v>148</v>
      </c>
      <c r="B12" s="8" t="s">
        <v>134</v>
      </c>
      <c r="C12" s="12" t="s">
        <v>149</v>
      </c>
    </row>
    <row r="13" customFormat="false" ht="15" hidden="false" customHeight="false" outlineLevel="0" collapsed="false">
      <c r="A13" s="11" t="s">
        <v>150</v>
      </c>
      <c r="B13" s="8" t="s">
        <v>134</v>
      </c>
      <c r="C13" s="12" t="s">
        <v>151</v>
      </c>
    </row>
    <row r="15" customFormat="false" ht="15" hidden="false" customHeight="false" outlineLevel="0" collapsed="false">
      <c r="A15" s="2" t="s">
        <v>152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0"/>
    <col collapsed="false" customWidth="true" hidden="false" outlineLevel="0" max="3" min="3" style="0" width="11"/>
    <col collapsed="false" customWidth="true" hidden="false" outlineLevel="0" max="4" min="4" style="0" width="12"/>
    <col collapsed="false" customWidth="true" hidden="false" outlineLevel="0" max="5" min="5" style="0" width="48"/>
    <col collapsed="false" customWidth="true" hidden="false" outlineLevel="0" max="6" min="6" style="0" width="16"/>
    <col collapsed="false" customWidth="true" hidden="false" outlineLevel="0" max="7" min="7" style="0" width="10"/>
    <col collapsed="false" customWidth="true" hidden="false" outlineLevel="0" max="8" min="8" style="0" width="14"/>
    <col collapsed="false" customWidth="true" hidden="false" outlineLevel="0" max="9" min="9" style="0" width="30"/>
    <col collapsed="false" customWidth="true" hidden="false" outlineLevel="0" max="10" min="10" style="0" width="26"/>
  </cols>
  <sheetData>
    <row r="1" customFormat="false" ht="15" hidden="false" customHeight="false" outlineLevel="0" collapsed="false">
      <c r="A1" s="5" t="s">
        <v>153</v>
      </c>
    </row>
    <row r="3" customFormat="false" ht="23.85" hidden="false" customHeight="false" outlineLevel="0" collapsed="false">
      <c r="A3" s="6" t="s">
        <v>154</v>
      </c>
      <c r="B3" s="6" t="s">
        <v>130</v>
      </c>
      <c r="C3" s="6" t="s">
        <v>133</v>
      </c>
      <c r="D3" s="6" t="s">
        <v>136</v>
      </c>
      <c r="E3" s="6" t="s">
        <v>138</v>
      </c>
      <c r="F3" s="6" t="s">
        <v>140</v>
      </c>
      <c r="G3" s="6" t="s">
        <v>142</v>
      </c>
      <c r="H3" s="6" t="s">
        <v>144</v>
      </c>
      <c r="I3" s="6" t="s">
        <v>146</v>
      </c>
      <c r="J3" s="6" t="s">
        <v>148</v>
      </c>
    </row>
    <row r="4" customFormat="false" ht="15" hidden="false" customHeight="false" outlineLevel="0" collapsed="false">
      <c r="A4" s="17" t="s">
        <v>36</v>
      </c>
      <c r="B4" s="18" t="s">
        <v>155</v>
      </c>
      <c r="C4" s="19" t="s">
        <v>156</v>
      </c>
      <c r="D4" s="19" t="s">
        <v>157</v>
      </c>
      <c r="E4" s="18" t="s">
        <v>158</v>
      </c>
      <c r="F4" s="18" t="s">
        <v>159</v>
      </c>
      <c r="G4" s="19" t="s">
        <v>160</v>
      </c>
      <c r="H4" s="18"/>
      <c r="I4" s="18"/>
      <c r="J4" s="18"/>
    </row>
    <row r="5" customFormat="false" ht="15" hidden="false" customHeight="false" outlineLevel="0" collapsed="false">
      <c r="A5" s="17" t="s">
        <v>46</v>
      </c>
      <c r="B5" s="18" t="s">
        <v>161</v>
      </c>
      <c r="C5" s="19" t="s">
        <v>156</v>
      </c>
      <c r="D5" s="19" t="s">
        <v>162</v>
      </c>
      <c r="E5" s="18" t="s">
        <v>163</v>
      </c>
      <c r="F5" s="18" t="s">
        <v>159</v>
      </c>
      <c r="G5" s="19" t="s">
        <v>164</v>
      </c>
      <c r="H5" s="18"/>
      <c r="I5" s="18"/>
      <c r="J5" s="18"/>
    </row>
    <row r="6" customFormat="false" ht="22.35" hidden="false" customHeight="false" outlineLevel="0" collapsed="false">
      <c r="A6" s="17" t="s">
        <v>56</v>
      </c>
      <c r="B6" s="18" t="s">
        <v>165</v>
      </c>
      <c r="C6" s="19" t="s">
        <v>156</v>
      </c>
      <c r="D6" s="19" t="s">
        <v>56</v>
      </c>
      <c r="E6" s="18" t="s">
        <v>166</v>
      </c>
      <c r="F6" s="18" t="s">
        <v>167</v>
      </c>
      <c r="G6" s="19" t="s">
        <v>168</v>
      </c>
      <c r="H6" s="18"/>
      <c r="I6" s="18"/>
      <c r="J6" s="18"/>
    </row>
    <row r="7" customFormat="false" ht="22.35" hidden="false" customHeight="false" outlineLevel="0" collapsed="false">
      <c r="A7" s="17" t="s">
        <v>66</v>
      </c>
      <c r="B7" s="18" t="s">
        <v>169</v>
      </c>
      <c r="C7" s="19" t="s">
        <v>156</v>
      </c>
      <c r="D7" s="19" t="s">
        <v>170</v>
      </c>
      <c r="E7" s="18" t="s">
        <v>171</v>
      </c>
      <c r="F7" s="18" t="s">
        <v>167</v>
      </c>
      <c r="G7" s="19" t="s">
        <v>168</v>
      </c>
      <c r="H7" s="18"/>
      <c r="I7" s="18"/>
      <c r="J7" s="18"/>
    </row>
    <row r="8" customFormat="false" ht="15" hidden="false" customHeight="false" outlineLevel="0" collapsed="false">
      <c r="A8" s="17" t="s">
        <v>66</v>
      </c>
      <c r="B8" s="18" t="s">
        <v>172</v>
      </c>
      <c r="C8" s="19" t="s">
        <v>156</v>
      </c>
      <c r="D8" s="19" t="s">
        <v>170</v>
      </c>
      <c r="E8" s="18" t="s">
        <v>173</v>
      </c>
      <c r="F8" s="18" t="s">
        <v>174</v>
      </c>
      <c r="G8" s="19"/>
      <c r="H8" s="18"/>
      <c r="I8" s="18"/>
      <c r="J8" s="18"/>
    </row>
    <row r="9" customFormat="false" ht="22.35" hidden="false" customHeight="false" outlineLevel="0" collapsed="false">
      <c r="A9" s="17" t="s">
        <v>76</v>
      </c>
      <c r="B9" s="18" t="s">
        <v>175</v>
      </c>
      <c r="C9" s="19" t="s">
        <v>156</v>
      </c>
      <c r="D9" s="19" t="s">
        <v>176</v>
      </c>
      <c r="E9" s="18" t="s">
        <v>177</v>
      </c>
      <c r="F9" s="18" t="s">
        <v>178</v>
      </c>
      <c r="G9" s="19" t="s">
        <v>168</v>
      </c>
      <c r="H9" s="18"/>
      <c r="I9" s="18"/>
      <c r="J9" s="18"/>
    </row>
    <row r="10" customFormat="false" ht="22.35" hidden="false" customHeight="false" outlineLevel="0" collapsed="false">
      <c r="A10" s="17" t="s">
        <v>86</v>
      </c>
      <c r="B10" s="18" t="s">
        <v>179</v>
      </c>
      <c r="C10" s="19" t="s">
        <v>180</v>
      </c>
      <c r="D10" s="19" t="s">
        <v>86</v>
      </c>
      <c r="E10" s="18" t="s">
        <v>181</v>
      </c>
      <c r="F10" s="18" t="s">
        <v>182</v>
      </c>
      <c r="G10" s="19" t="s">
        <v>183</v>
      </c>
      <c r="H10" s="18"/>
      <c r="I10" s="18" t="s">
        <v>184</v>
      </c>
      <c r="J10" s="18" t="s">
        <v>185</v>
      </c>
    </row>
    <row r="11" customFormat="false" ht="22.35" hidden="false" customHeight="false" outlineLevel="0" collapsed="false">
      <c r="A11" s="17" t="s">
        <v>106</v>
      </c>
      <c r="B11" s="18" t="s">
        <v>186</v>
      </c>
      <c r="C11" s="19" t="s">
        <v>156</v>
      </c>
      <c r="D11" s="19" t="s">
        <v>187</v>
      </c>
      <c r="E11" s="18" t="s">
        <v>188</v>
      </c>
      <c r="F11" s="18" t="s">
        <v>189</v>
      </c>
      <c r="G11" s="19" t="s">
        <v>190</v>
      </c>
      <c r="H11" s="18"/>
      <c r="I11" s="18"/>
      <c r="J11" s="18" t="s">
        <v>191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6"/>
    <col collapsed="false" customWidth="true" hidden="false" outlineLevel="0" max="3" min="3" style="0" width="60"/>
  </cols>
  <sheetData>
    <row r="1" customFormat="false" ht="15" hidden="false" customHeight="false" outlineLevel="0" collapsed="false">
      <c r="A1" s="6" t="s">
        <v>192</v>
      </c>
      <c r="B1" s="6" t="s">
        <v>193</v>
      </c>
      <c r="C1" s="6" t="s">
        <v>194</v>
      </c>
    </row>
    <row r="2" customFormat="false" ht="15" hidden="false" customHeight="false" outlineLevel="0" collapsed="false">
      <c r="A2" s="11" t="s">
        <v>195</v>
      </c>
      <c r="B2" s="12" t="s">
        <v>196</v>
      </c>
      <c r="C2" s="12" t="s">
        <v>197</v>
      </c>
    </row>
    <row r="3" customFormat="false" ht="15" hidden="false" customHeight="false" outlineLevel="0" collapsed="false">
      <c r="A3" s="14" t="s">
        <v>198</v>
      </c>
      <c r="B3" s="15" t="s">
        <v>199</v>
      </c>
      <c r="C3" s="15" t="s">
        <v>200</v>
      </c>
    </row>
    <row r="4" customFormat="false" ht="15" hidden="false" customHeight="false" outlineLevel="0" collapsed="false">
      <c r="A4" s="11" t="s">
        <v>201</v>
      </c>
      <c r="B4" s="12" t="s">
        <v>202</v>
      </c>
      <c r="C4" s="12" t="s">
        <v>203</v>
      </c>
    </row>
    <row r="5" customFormat="false" ht="15" hidden="false" customHeight="false" outlineLevel="0" collapsed="false">
      <c r="A5" s="14" t="s">
        <v>204</v>
      </c>
      <c r="B5" s="15" t="s">
        <v>205</v>
      </c>
      <c r="C5" s="15" t="s">
        <v>203</v>
      </c>
    </row>
    <row r="6" customFormat="false" ht="15" hidden="false" customHeight="false" outlineLevel="0" collapsed="false">
      <c r="A6" s="11" t="s">
        <v>206</v>
      </c>
      <c r="B6" s="12" t="s">
        <v>207</v>
      </c>
      <c r="C6" s="12" t="s">
        <v>208</v>
      </c>
    </row>
    <row r="7" customFormat="false" ht="15" hidden="false" customHeight="false" outlineLevel="0" collapsed="false">
      <c r="A7" s="14" t="s">
        <v>209</v>
      </c>
      <c r="B7" s="15" t="s">
        <v>210</v>
      </c>
      <c r="C7" s="15" t="s">
        <v>211</v>
      </c>
    </row>
    <row r="8" customFormat="false" ht="15" hidden="false" customHeight="false" outlineLevel="0" collapsed="false">
      <c r="A8" s="11" t="s">
        <v>212</v>
      </c>
      <c r="B8" s="12" t="s">
        <v>213</v>
      </c>
      <c r="C8" s="12" t="s">
        <v>214</v>
      </c>
    </row>
    <row r="9" customFormat="false" ht="15" hidden="false" customHeight="false" outlineLevel="0" collapsed="false">
      <c r="A9" s="14" t="s">
        <v>215</v>
      </c>
      <c r="B9" s="15" t="s">
        <v>216</v>
      </c>
      <c r="C9" s="15" t="s">
        <v>200</v>
      </c>
    </row>
    <row r="10" customFormat="false" ht="15" hidden="false" customHeight="false" outlineLevel="0" collapsed="false">
      <c r="A10" s="11" t="s">
        <v>217</v>
      </c>
      <c r="B10" s="12" t="s">
        <v>218</v>
      </c>
      <c r="C10" s="12" t="s">
        <v>219</v>
      </c>
    </row>
    <row r="11" customFormat="false" ht="15" hidden="false" customHeight="false" outlineLevel="0" collapsed="false">
      <c r="A11" s="14" t="s">
        <v>220</v>
      </c>
      <c r="B11" s="15" t="s">
        <v>221</v>
      </c>
      <c r="C11" s="15" t="s">
        <v>222</v>
      </c>
    </row>
    <row r="12" customFormat="false" ht="15" hidden="false" customHeight="false" outlineLevel="0" collapsed="false">
      <c r="A12" s="11" t="s">
        <v>223</v>
      </c>
      <c r="B12" s="12" t="s">
        <v>224</v>
      </c>
      <c r="C12" s="12" t="s">
        <v>225</v>
      </c>
    </row>
    <row r="13" customFormat="false" ht="15" hidden="false" customHeight="false" outlineLevel="0" collapsed="false">
      <c r="A13" s="14" t="s">
        <v>226</v>
      </c>
      <c r="B13" s="15" t="s">
        <v>227</v>
      </c>
      <c r="C13" s="15" t="s">
        <v>200</v>
      </c>
    </row>
    <row r="14" customFormat="false" ht="15" hidden="false" customHeight="false" outlineLevel="0" collapsed="false">
      <c r="A14" s="11" t="s">
        <v>228</v>
      </c>
      <c r="B14" s="12" t="s">
        <v>229</v>
      </c>
      <c r="C14" s="12" t="s">
        <v>200</v>
      </c>
    </row>
    <row r="15" customFormat="false" ht="15" hidden="false" customHeight="false" outlineLevel="0" collapsed="false">
      <c r="A15" s="14" t="s">
        <v>230</v>
      </c>
      <c r="B15" s="15" t="s">
        <v>231</v>
      </c>
      <c r="C15" s="15" t="s">
        <v>232</v>
      </c>
    </row>
    <row r="16" customFormat="false" ht="15" hidden="false" customHeight="false" outlineLevel="0" collapsed="false">
      <c r="A16" s="11" t="s">
        <v>233</v>
      </c>
      <c r="B16" s="12" t="s">
        <v>234</v>
      </c>
      <c r="C16" s="12" t="s">
        <v>235</v>
      </c>
    </row>
    <row r="17" customFormat="false" ht="15" hidden="false" customHeight="false" outlineLevel="0" collapsed="false">
      <c r="A17" s="14" t="s">
        <v>236</v>
      </c>
      <c r="B17" s="15" t="s">
        <v>237</v>
      </c>
      <c r="C17" s="15" t="s">
        <v>238</v>
      </c>
    </row>
    <row r="18" customFormat="false" ht="15" hidden="false" customHeight="false" outlineLevel="0" collapsed="false">
      <c r="A18" s="11" t="s">
        <v>239</v>
      </c>
      <c r="B18" s="12" t="s">
        <v>240</v>
      </c>
      <c r="C18" s="12" t="s">
        <v>241</v>
      </c>
    </row>
    <row r="19" customFormat="false" ht="15" hidden="false" customHeight="false" outlineLevel="0" collapsed="false">
      <c r="A19" s="14" t="s">
        <v>242</v>
      </c>
      <c r="B19" s="15" t="s">
        <v>243</v>
      </c>
      <c r="C19" s="15" t="s">
        <v>241</v>
      </c>
    </row>
    <row r="20" customFormat="false" ht="15" hidden="false" customHeight="false" outlineLevel="0" collapsed="false">
      <c r="A20" s="11" t="s">
        <v>244</v>
      </c>
      <c r="B20" s="12" t="s">
        <v>245</v>
      </c>
      <c r="C20" s="12" t="s">
        <v>200</v>
      </c>
    </row>
    <row r="21" customFormat="false" ht="15" hidden="false" customHeight="false" outlineLevel="0" collapsed="false">
      <c r="A21" s="14" t="s">
        <v>246</v>
      </c>
      <c r="B21" s="15" t="s">
        <v>247</v>
      </c>
      <c r="C21" s="15" t="s">
        <v>241</v>
      </c>
    </row>
    <row r="22" customFormat="false" ht="15" hidden="false" customHeight="false" outlineLevel="0" collapsed="false">
      <c r="A22" s="11" t="s">
        <v>248</v>
      </c>
      <c r="B22" s="12" t="s">
        <v>249</v>
      </c>
      <c r="C22" s="12" t="s">
        <v>200</v>
      </c>
    </row>
    <row r="23" customFormat="false" ht="15" hidden="false" customHeight="false" outlineLevel="0" collapsed="false">
      <c r="A23" s="14" t="s">
        <v>250</v>
      </c>
      <c r="B23" s="15" t="s">
        <v>251</v>
      </c>
      <c r="C23" s="15" t="s">
        <v>200</v>
      </c>
    </row>
    <row r="24" customFormat="false" ht="15" hidden="false" customHeight="false" outlineLevel="0" collapsed="false">
      <c r="A24" s="11" t="s">
        <v>252</v>
      </c>
      <c r="B24" s="12" t="s">
        <v>253</v>
      </c>
      <c r="C24" s="12" t="s">
        <v>200</v>
      </c>
    </row>
    <row r="25" customFormat="false" ht="15" hidden="false" customHeight="false" outlineLevel="0" collapsed="false">
      <c r="A25" s="14" t="s">
        <v>254</v>
      </c>
      <c r="B25" s="15" t="s">
        <v>255</v>
      </c>
      <c r="C25" s="15" t="s">
        <v>200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2026-09-29T08:16:31Z</dcterms:created>
  <dc:creator>openpyxl</dc:creator>
  <dc:description/>
  <dc:language>en-US</dc:language>
  <cp:lastModifiedBy/>
  <dcterms:modified xsi:type="dcterms:W3CDTF">2026-09-29T08:16:31Z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